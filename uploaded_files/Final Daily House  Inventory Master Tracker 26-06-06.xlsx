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A2E17CD7-7744-4557-BBC6-F98A06DE8C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1" i="1"/>
  <c r="D12" i="1"/>
  <c r="D14" i="1"/>
  <c r="D15" i="1"/>
  <c r="D7" i="1"/>
  <c r="D21" i="1"/>
  <c r="D22" i="1"/>
  <c r="D23" i="1"/>
  <c r="D10" i="1" s="1"/>
  <c r="D24" i="1"/>
  <c r="D25" i="1"/>
  <c r="D26" i="1"/>
  <c r="D13" i="1" s="1"/>
  <c r="D27" i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G142" i="2"/>
  <c r="G44" i="1" s="1"/>
  <c r="D142" i="2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G133" i="2"/>
  <c r="J43" i="1" s="1"/>
  <c r="D133" i="2"/>
  <c r="D132" i="2"/>
  <c r="G132" i="2" s="1"/>
  <c r="I43" i="1" s="1"/>
  <c r="D131" i="2"/>
  <c r="G131" i="2" s="1"/>
  <c r="H43" i="1" s="1"/>
  <c r="D130" i="2"/>
  <c r="G130" i="2" s="1"/>
  <c r="G43" i="1" s="1"/>
  <c r="G129" i="2"/>
  <c r="D129" i="2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G120" i="2"/>
  <c r="D120" i="2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G107" i="2"/>
  <c r="H41" i="1" s="1"/>
  <c r="D107" i="2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G96" i="2"/>
  <c r="I40" i="1" s="1"/>
  <c r="D96" i="2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G90" i="2"/>
  <c r="D90" i="2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G79" i="2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G68" i="2"/>
  <c r="D68" i="2"/>
  <c r="D67" i="2"/>
  <c r="G67" i="2" s="1"/>
  <c r="D38" i="1" s="1"/>
  <c r="D66" i="2"/>
  <c r="G66" i="2" s="1"/>
  <c r="C38" i="1" s="1"/>
  <c r="D65" i="2"/>
  <c r="G65" i="2" s="1"/>
  <c r="G61" i="2"/>
  <c r="J37" i="1" s="1"/>
  <c r="D61" i="2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G46" i="2"/>
  <c r="G36" i="1" s="1"/>
  <c r="D46" i="2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G37" i="2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G24" i="2"/>
  <c r="I34" i="1" s="1"/>
  <c r="D24" i="2"/>
  <c r="D23" i="2"/>
  <c r="G23" i="2" s="1"/>
  <c r="H34" i="1" s="1"/>
  <c r="D22" i="2"/>
  <c r="G22" i="2" s="1"/>
  <c r="G34" i="1" s="1"/>
  <c r="D21" i="2"/>
  <c r="G21" i="2" s="1"/>
  <c r="D20" i="2"/>
  <c r="G20" i="2" s="1"/>
  <c r="D19" i="2"/>
  <c r="G19" i="2" s="1"/>
  <c r="D18" i="2"/>
  <c r="G18" i="2" s="1"/>
  <c r="D17" i="2"/>
  <c r="G17" i="2" s="1"/>
  <c r="B34" i="1" s="1"/>
  <c r="G13" i="2"/>
  <c r="J33" i="1" s="1"/>
  <c r="D13" i="2"/>
  <c r="D12" i="2"/>
  <c r="G12" i="2" s="1"/>
  <c r="I33" i="1" s="1"/>
  <c r="I45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G7" i="2"/>
  <c r="D33" i="1" s="1"/>
  <c r="D7" i="2"/>
  <c r="D6" i="2"/>
  <c r="G6" i="2" s="1"/>
  <c r="D5" i="2"/>
  <c r="G5" i="2" s="1"/>
  <c r="B33" i="1" s="1"/>
  <c r="F43" i="1"/>
  <c r="I42" i="1"/>
  <c r="C40" i="1"/>
  <c r="D39" i="1"/>
  <c r="E38" i="1"/>
  <c r="B38" i="1"/>
  <c r="D36" i="1"/>
  <c r="J35" i="1"/>
  <c r="J34" i="1"/>
  <c r="F34" i="1"/>
  <c r="D34" i="1"/>
  <c r="E33" i="1"/>
  <c r="C33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C14" i="1"/>
  <c r="C13" i="1"/>
  <c r="C12" i="1"/>
  <c r="C11" i="1"/>
  <c r="C10" i="1"/>
  <c r="C9" i="1"/>
  <c r="C8" i="1"/>
  <c r="C7" i="1"/>
  <c r="J45" i="1" l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<sst xmlns="http://schemas.openxmlformats.org/spreadsheetml/2006/main" count="290" uniqueCount="67">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</sst>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 x14ac:knownFonts="1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4" zoomScale="96" zoomScaleNormal="96" workbookViewId="0">
      <selection activeCell="G24" sqref="G24"/>
    </sheetView>
  </sheetViews>
  <sheetFormatPr defaultColWidth="10" defaultRowHeight="15" x14ac:dyDescent="0.2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 x14ac:dyDescent="0.25">
      <c r="A1" s="1" t="s">
        <v>0</v>
      </c>
      <c r="B1" s="81">
        <v>46179</v>
      </c>
      <c r="C1" s="2"/>
    </row>
    <row r="3" spans="1:8" ht="21" x14ac:dyDescent="0.35">
      <c r="A3" s="3" t="s">
        <v>1</v>
      </c>
    </row>
    <row r="5" spans="1:8" ht="17.25" x14ac:dyDescent="0.3">
      <c r="A5" s="4" t="s">
        <v>2</v>
      </c>
    </row>
    <row r="6" spans="1:8" ht="45" x14ac:dyDescent="0.2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 x14ac:dyDescent="0.25">
      <c r="A7" s="6" t="s">
        <v>6</v>
      </c>
      <c r="B7" s="7">
        <v>351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36</v>
      </c>
      <c r="D7" s="8">
        <f>B7-C7+D20+H7</f>
        <v>330</v>
      </c>
      <c r="F7" s="91" t="s">
        <v>6</v>
      </c>
      <c r="G7" s="92"/>
      <c r="H7" s="7">
        <v>0</v>
      </c>
    </row>
    <row r="8" spans="1:8" x14ac:dyDescent="0.25">
      <c r="A8" s="9" t="s">
        <v>7</v>
      </c>
      <c r="B8" s="10">
        <v>61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0</v>
      </c>
      <c r="D8" s="11">
        <f t="shared" ref="D8:D15" si="0">B8-C8+D21+H8</f>
        <v>61</v>
      </c>
      <c r="F8" s="93" t="s">
        <v>7</v>
      </c>
      <c r="G8" s="94"/>
      <c r="H8" s="10">
        <v>0</v>
      </c>
    </row>
    <row r="9" spans="1:8" x14ac:dyDescent="0.25">
      <c r="A9" s="12" t="s">
        <v>8</v>
      </c>
      <c r="B9" s="13">
        <v>59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59</v>
      </c>
      <c r="F9" s="93" t="s">
        <v>8</v>
      </c>
      <c r="G9" s="94"/>
      <c r="H9" s="13">
        <v>0</v>
      </c>
    </row>
    <row r="10" spans="1:8" x14ac:dyDescent="0.25">
      <c r="A10" s="15" t="s">
        <v>9</v>
      </c>
      <c r="B10" s="16">
        <v>5090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1200</v>
      </c>
      <c r="D10" s="17">
        <f t="shared" si="0"/>
        <v>4570</v>
      </c>
      <c r="F10" s="95" t="s">
        <v>9</v>
      </c>
      <c r="G10" s="96"/>
      <c r="H10" s="16">
        <v>0</v>
      </c>
    </row>
    <row r="11" spans="1:8" x14ac:dyDescent="0.25">
      <c r="A11" s="18" t="s">
        <v>10</v>
      </c>
      <c r="B11" s="19">
        <v>3120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300</v>
      </c>
      <c r="D11" s="20">
        <f t="shared" si="0"/>
        <v>2970</v>
      </c>
      <c r="F11" s="86" t="s">
        <v>10</v>
      </c>
      <c r="G11" s="87"/>
      <c r="H11" s="19">
        <v>0</v>
      </c>
    </row>
    <row r="12" spans="1:8" x14ac:dyDescent="0.25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 x14ac:dyDescent="0.25">
      <c r="A13" s="24" t="s">
        <v>12</v>
      </c>
      <c r="B13" s="25">
        <v>3790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450</v>
      </c>
      <c r="D13" s="26">
        <f t="shared" si="0"/>
        <v>3600</v>
      </c>
      <c r="F13" s="84" t="s">
        <v>12</v>
      </c>
      <c r="G13" s="84"/>
      <c r="H13" s="25">
        <v>0</v>
      </c>
    </row>
    <row r="14" spans="1:8" x14ac:dyDescent="0.25">
      <c r="A14" s="27" t="s">
        <v>13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F14" s="88" t="s">
        <v>13</v>
      </c>
      <c r="G14" s="89"/>
      <c r="H14" s="28">
        <v>0</v>
      </c>
    </row>
    <row r="15" spans="1:8" x14ac:dyDescent="0.25">
      <c r="A15" s="30" t="s">
        <v>14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F15" s="85" t="s">
        <v>14</v>
      </c>
      <c r="G15" s="85"/>
      <c r="H15" s="31">
        <v>0</v>
      </c>
    </row>
    <row r="18" spans="1:10" ht="17.25" x14ac:dyDescent="0.3">
      <c r="A18" s="4" t="s">
        <v>15</v>
      </c>
    </row>
    <row r="19" spans="1:10" ht="60" x14ac:dyDescent="0.25">
      <c r="A19" s="5" t="s">
        <v>3</v>
      </c>
      <c r="B19" s="5" t="s">
        <v>16</v>
      </c>
      <c r="C19" s="5" t="s">
        <v>17</v>
      </c>
      <c r="D19" s="5" t="s">
        <v>62</v>
      </c>
    </row>
    <row r="20" spans="1:10" x14ac:dyDescent="0.25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31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330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15</v>
      </c>
    </row>
    <row r="21" spans="1:10" x14ac:dyDescent="0.25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16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75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 x14ac:dyDescent="0.25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 x14ac:dyDescent="0.25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520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3870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680</v>
      </c>
    </row>
    <row r="24" spans="1:10" x14ac:dyDescent="0.25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50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1680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150</v>
      </c>
    </row>
    <row r="25" spans="1:10" x14ac:dyDescent="0.25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 x14ac:dyDescent="0.25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190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1480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260</v>
      </c>
    </row>
    <row r="27" spans="1:10" x14ac:dyDescent="0.25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 x14ac:dyDescent="0.25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 x14ac:dyDescent="0.3">
      <c r="A31" s="4" t="s">
        <v>18</v>
      </c>
    </row>
    <row r="32" spans="1:10" ht="30" x14ac:dyDescent="0.25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 x14ac:dyDescent="0.25">
      <c r="A33" s="33" t="s">
        <v>20</v>
      </c>
      <c r="B33" s="34">
        <f>'Daily Data Entry'!G5</f>
        <v>47</v>
      </c>
      <c r="C33" s="34">
        <f>'Daily Data Entry'!G6</f>
        <v>19</v>
      </c>
      <c r="D33" s="34">
        <f>'Daily Data Entry'!G7</f>
        <v>0</v>
      </c>
      <c r="E33" s="34">
        <f>'Daily Data Entry'!G8</f>
        <v>350</v>
      </c>
      <c r="F33" s="34">
        <f>'Daily Data Entry'!G9</f>
        <v>450</v>
      </c>
      <c r="G33" s="34">
        <f>'Daily Data Entry'!G10</f>
        <v>50</v>
      </c>
      <c r="H33" s="34">
        <f>'Daily Data Entry'!G11</f>
        <v>280</v>
      </c>
      <c r="I33" s="34">
        <f>'Daily Data Entry'!G12</f>
        <v>0</v>
      </c>
      <c r="J33" s="34">
        <f>'Daily Data Entry'!G13</f>
        <v>0</v>
      </c>
    </row>
    <row r="34" spans="1:10" x14ac:dyDescent="0.25">
      <c r="A34" s="35" t="s">
        <v>21</v>
      </c>
      <c r="B34" s="36">
        <f>'Daily Data Entry'!G17</f>
        <v>8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 x14ac:dyDescent="0.25">
      <c r="A35" s="37" t="s">
        <v>22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2340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 x14ac:dyDescent="0.25">
      <c r="A36" s="39" t="s">
        <v>23</v>
      </c>
      <c r="B36" s="40">
        <f>'Daily Data Entry'!G41</f>
        <v>5</v>
      </c>
      <c r="C36" s="40">
        <f>'Daily Data Entry'!G42</f>
        <v>10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 x14ac:dyDescent="0.25">
      <c r="A37" s="41" t="s">
        <v>24</v>
      </c>
      <c r="B37" s="42">
        <f>'Daily Data Entry'!G53</f>
        <v>6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 x14ac:dyDescent="0.25">
      <c r="A38" s="43" t="s">
        <v>25</v>
      </c>
      <c r="B38" s="44">
        <f>'Daily Data Entry'!G65</f>
        <v>39</v>
      </c>
      <c r="C38" s="44">
        <f>'Daily Data Entry'!G66</f>
        <v>0</v>
      </c>
      <c r="D38" s="44">
        <f>'Daily Data Entry'!G67</f>
        <v>0</v>
      </c>
      <c r="E38" s="44">
        <f>'Daily Data Entry'!G68</f>
        <v>900</v>
      </c>
      <c r="F38" s="44">
        <f>'Daily Data Entry'!G69</f>
        <v>650</v>
      </c>
      <c r="G38" s="44">
        <f>'Daily Data Entry'!G70</f>
        <v>100</v>
      </c>
      <c r="H38" s="44">
        <f>'Daily Data Entry'!G71</f>
        <v>650</v>
      </c>
      <c r="I38" s="44">
        <f>'Daily Data Entry'!G72</f>
        <v>0</v>
      </c>
      <c r="J38" s="44">
        <f>'Daily Data Entry'!G73</f>
        <v>0</v>
      </c>
    </row>
    <row r="39" spans="1:10" x14ac:dyDescent="0.25">
      <c r="A39" s="45" t="s">
        <v>26</v>
      </c>
      <c r="B39" s="46">
        <f>'Daily Data Entry'!G77</f>
        <v>24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100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 x14ac:dyDescent="0.25">
      <c r="A40" s="33" t="s">
        <v>27</v>
      </c>
      <c r="B40" s="34">
        <f>'Daily Data Entry'!G89</f>
        <v>55</v>
      </c>
      <c r="C40" s="34">
        <f>'Daily Data Entry'!G90</f>
        <v>4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 x14ac:dyDescent="0.25">
      <c r="A41" s="18" t="s">
        <v>28</v>
      </c>
      <c r="B41" s="20">
        <f>'Daily Data Entry'!G101</f>
        <v>10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 x14ac:dyDescent="0.25">
      <c r="A42" s="47" t="s">
        <v>29</v>
      </c>
      <c r="B42" s="48">
        <f>'Daily Data Entry'!G113</f>
        <v>22</v>
      </c>
      <c r="C42" s="48">
        <f>'Daily Data Entry'!G114</f>
        <v>25</v>
      </c>
      <c r="D42" s="48">
        <f>'Daily Data Entry'!G115</f>
        <v>0</v>
      </c>
      <c r="E42" s="48">
        <f>'Daily Data Entry'!G116</f>
        <v>280</v>
      </c>
      <c r="F42" s="48">
        <f>'Daily Data Entry'!G117</f>
        <v>230</v>
      </c>
      <c r="G42" s="48">
        <f>'Daily Data Entry'!G118</f>
        <v>90</v>
      </c>
      <c r="H42" s="48">
        <f>'Daily Data Entry'!G119</f>
        <v>410</v>
      </c>
      <c r="I42" s="48">
        <f>'Daily Data Entry'!G120</f>
        <v>0</v>
      </c>
      <c r="J42" s="48">
        <f>'Daily Data Entry'!G121</f>
        <v>0</v>
      </c>
    </row>
    <row r="43" spans="1:10" x14ac:dyDescent="0.25">
      <c r="A43" s="49" t="s">
        <v>30</v>
      </c>
      <c r="B43" s="50">
        <f>'Daily Data Entry'!G125</f>
        <v>15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 x14ac:dyDescent="0.25">
      <c r="A44" s="51" t="s">
        <v>31</v>
      </c>
      <c r="B44" s="52">
        <f>'Daily Data Entry'!G137</f>
        <v>75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 x14ac:dyDescent="0.25">
      <c r="A45" s="79" t="s">
        <v>48</v>
      </c>
      <c r="B45" s="80">
        <f>SUM(B33:B44)</f>
        <v>330</v>
      </c>
      <c r="C45" s="80">
        <f t="shared" ref="C45:J45" si="1">SUM(C33:C44)</f>
        <v>75</v>
      </c>
      <c r="D45" s="80">
        <f t="shared" si="1"/>
        <v>0</v>
      </c>
      <c r="E45" s="80">
        <f t="shared" si="1"/>
        <v>3870</v>
      </c>
      <c r="F45" s="80">
        <f t="shared" si="1"/>
        <v>1680</v>
      </c>
      <c r="G45" s="80">
        <f t="shared" si="1"/>
        <v>240</v>
      </c>
      <c r="H45" s="80">
        <f t="shared" si="1"/>
        <v>1480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76" zoomScale="150" zoomScaleNormal="150" workbookViewId="0">
      <selection activeCell="F80" sqref="F80"/>
    </sheetView>
  </sheetViews>
  <sheetFormatPr defaultColWidth="10" defaultRowHeight="15" x14ac:dyDescent="0.25"/>
  <cols>
    <col min="1" max="1" width="25" customWidth="1"/>
    <col min="2" max="7" width="16" customWidth="1"/>
  </cols>
  <sheetData>
    <row r="1" spans="1:7" ht="21" x14ac:dyDescent="0.35">
      <c r="A1" s="3" t="s">
        <v>32</v>
      </c>
    </row>
    <row r="3" spans="1:7" ht="15.75" x14ac:dyDescent="0.25">
      <c r="A3" s="53" t="s">
        <v>59</v>
      </c>
      <c r="B3" s="54"/>
      <c r="C3" s="54"/>
      <c r="D3" s="54"/>
      <c r="E3" s="54"/>
      <c r="F3" s="54"/>
      <c r="G3" s="54"/>
    </row>
    <row r="4" spans="1:7" ht="30" x14ac:dyDescent="0.25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 x14ac:dyDescent="0.25">
      <c r="A5" s="6" t="s">
        <v>6</v>
      </c>
      <c r="B5" s="7">
        <v>47</v>
      </c>
      <c r="C5" s="7">
        <v>0</v>
      </c>
      <c r="D5" s="8">
        <f t="shared" ref="D5:D13" si="0">B5+C5</f>
        <v>47</v>
      </c>
      <c r="E5" s="7">
        <v>0</v>
      </c>
      <c r="F5" s="7">
        <v>0</v>
      </c>
      <c r="G5" s="8">
        <f t="shared" ref="G5:G13" si="1">D5-E5-F5</f>
        <v>47</v>
      </c>
    </row>
    <row r="6" spans="1:7" x14ac:dyDescent="0.25">
      <c r="A6" s="9" t="s">
        <v>7</v>
      </c>
      <c r="B6" s="10">
        <v>19</v>
      </c>
      <c r="C6" s="10">
        <v>0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 x14ac:dyDescent="0.25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 x14ac:dyDescent="0.25">
      <c r="A8" s="15" t="s">
        <v>9</v>
      </c>
      <c r="B8" s="16">
        <v>350</v>
      </c>
      <c r="C8" s="16">
        <v>0</v>
      </c>
      <c r="D8" s="17">
        <f t="shared" si="0"/>
        <v>350</v>
      </c>
      <c r="E8" s="16">
        <v>0</v>
      </c>
      <c r="F8" s="16">
        <v>0</v>
      </c>
      <c r="G8" s="17">
        <f t="shared" si="1"/>
        <v>350</v>
      </c>
    </row>
    <row r="9" spans="1:7" x14ac:dyDescent="0.25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 x14ac:dyDescent="0.25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 x14ac:dyDescent="0.25">
      <c r="A11" s="24" t="s">
        <v>12</v>
      </c>
      <c r="B11" s="25">
        <v>280</v>
      </c>
      <c r="C11" s="25">
        <v>0</v>
      </c>
      <c r="D11" s="26">
        <f t="shared" si="0"/>
        <v>280</v>
      </c>
      <c r="E11" s="25">
        <v>0</v>
      </c>
      <c r="F11" s="25">
        <v>0</v>
      </c>
      <c r="G11" s="26">
        <f t="shared" si="1"/>
        <v>280</v>
      </c>
    </row>
    <row r="12" spans="1:7" x14ac:dyDescent="0.25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 x14ac:dyDescent="0.25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 x14ac:dyDescent="0.25">
      <c r="A15" s="55" t="s">
        <v>58</v>
      </c>
      <c r="B15" s="56"/>
      <c r="C15" s="56"/>
      <c r="D15" s="56"/>
      <c r="E15" s="56"/>
      <c r="F15" s="56"/>
      <c r="G15" s="56"/>
    </row>
    <row r="16" spans="1:7" ht="30" x14ac:dyDescent="0.25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6</v>
      </c>
      <c r="B17" s="7">
        <v>12</v>
      </c>
      <c r="C17" s="7">
        <v>0</v>
      </c>
      <c r="D17" s="8">
        <f t="shared" ref="D17:D25" si="2">B17+C17</f>
        <v>12</v>
      </c>
      <c r="E17" s="7">
        <v>4</v>
      </c>
      <c r="F17" s="7">
        <v>0</v>
      </c>
      <c r="G17" s="8">
        <f t="shared" ref="G17:G25" si="3">D17-E17-F17</f>
        <v>8</v>
      </c>
    </row>
    <row r="18" spans="1:7" x14ac:dyDescent="0.25">
      <c r="A18" s="9" t="s">
        <v>7</v>
      </c>
      <c r="B18" s="10">
        <v>10</v>
      </c>
      <c r="C18" s="10">
        <v>0</v>
      </c>
      <c r="D18" s="11">
        <f t="shared" si="2"/>
        <v>10</v>
      </c>
      <c r="E18" s="10">
        <v>10</v>
      </c>
      <c r="F18" s="10">
        <v>0</v>
      </c>
      <c r="G18" s="11">
        <f t="shared" si="3"/>
        <v>0</v>
      </c>
    </row>
    <row r="19" spans="1:7" x14ac:dyDescent="0.25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 x14ac:dyDescent="0.25">
      <c r="A20" s="15" t="s">
        <v>9</v>
      </c>
      <c r="B20" s="16">
        <v>0</v>
      </c>
      <c r="C20" s="16">
        <v>100</v>
      </c>
      <c r="D20" s="17">
        <f t="shared" si="2"/>
        <v>100</v>
      </c>
      <c r="E20" s="16">
        <v>50</v>
      </c>
      <c r="F20" s="16">
        <v>50</v>
      </c>
      <c r="G20" s="17">
        <f t="shared" si="3"/>
        <v>0</v>
      </c>
    </row>
    <row r="21" spans="1:7" x14ac:dyDescent="0.25">
      <c r="A21" s="18" t="s">
        <v>10</v>
      </c>
      <c r="B21" s="19">
        <v>0</v>
      </c>
      <c r="C21" s="19">
        <v>50</v>
      </c>
      <c r="D21" s="20">
        <f t="shared" si="2"/>
        <v>50</v>
      </c>
      <c r="E21" s="19">
        <v>0</v>
      </c>
      <c r="F21" s="19">
        <v>50</v>
      </c>
      <c r="G21" s="20">
        <f t="shared" si="3"/>
        <v>0</v>
      </c>
    </row>
    <row r="22" spans="1:7" x14ac:dyDescent="0.25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 x14ac:dyDescent="0.25">
      <c r="A23" s="24" t="s">
        <v>12</v>
      </c>
      <c r="B23" s="25">
        <v>0</v>
      </c>
      <c r="C23" s="25">
        <v>100</v>
      </c>
      <c r="D23" s="26">
        <f t="shared" si="2"/>
        <v>100</v>
      </c>
      <c r="E23" s="25">
        <v>50</v>
      </c>
      <c r="F23" s="25">
        <v>50</v>
      </c>
      <c r="G23" s="26">
        <f t="shared" si="3"/>
        <v>0</v>
      </c>
    </row>
    <row r="24" spans="1:7" x14ac:dyDescent="0.25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 x14ac:dyDescent="0.25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 x14ac:dyDescent="0.25">
      <c r="A27" s="57" t="s">
        <v>57</v>
      </c>
      <c r="B27" s="58"/>
      <c r="C27" s="58"/>
      <c r="D27" s="58"/>
      <c r="E27" s="58"/>
      <c r="F27" s="58"/>
      <c r="G27" s="58"/>
    </row>
    <row r="28" spans="1:7" ht="30" x14ac:dyDescent="0.25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 x14ac:dyDescent="0.25">
      <c r="A29" s="6" t="s">
        <v>6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 x14ac:dyDescent="0.25">
      <c r="A30" s="9" t="s">
        <v>7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 x14ac:dyDescent="0.25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 x14ac:dyDescent="0.25">
      <c r="A32" s="15" t="s">
        <v>9</v>
      </c>
      <c r="B32" s="16">
        <v>2340</v>
      </c>
      <c r="C32" s="16">
        <v>0</v>
      </c>
      <c r="D32" s="17">
        <f t="shared" si="4"/>
        <v>2340</v>
      </c>
      <c r="E32" s="16">
        <v>0</v>
      </c>
      <c r="F32" s="16">
        <v>0</v>
      </c>
      <c r="G32" s="17">
        <f t="shared" si="5"/>
        <v>2340</v>
      </c>
    </row>
    <row r="33" spans="1:7" x14ac:dyDescent="0.25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 x14ac:dyDescent="0.25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 x14ac:dyDescent="0.25">
      <c r="A35" s="24" t="s">
        <v>12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 x14ac:dyDescent="0.25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 x14ac:dyDescent="0.25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 x14ac:dyDescent="0.25">
      <c r="A39" s="59" t="s">
        <v>56</v>
      </c>
      <c r="B39" s="60"/>
      <c r="C39" s="60"/>
      <c r="D39" s="60"/>
      <c r="E39" s="60"/>
      <c r="F39" s="60"/>
      <c r="G39" s="60"/>
    </row>
    <row r="40" spans="1:7" ht="30" x14ac:dyDescent="0.25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 x14ac:dyDescent="0.25">
      <c r="A41" s="6" t="s">
        <v>6</v>
      </c>
      <c r="B41" s="7">
        <v>5</v>
      </c>
      <c r="C41" s="7">
        <v>0</v>
      </c>
      <c r="D41" s="8">
        <f t="shared" ref="D41:D49" si="6">B41+C41</f>
        <v>5</v>
      </c>
      <c r="E41" s="7">
        <v>0</v>
      </c>
      <c r="F41" s="7">
        <v>0</v>
      </c>
      <c r="G41" s="8">
        <f t="shared" ref="G41:G49" si="7">D41-E41-F41</f>
        <v>5</v>
      </c>
    </row>
    <row r="42" spans="1:7" x14ac:dyDescent="0.25">
      <c r="A42" s="9" t="s">
        <v>7</v>
      </c>
      <c r="B42" s="10">
        <v>10</v>
      </c>
      <c r="C42" s="10">
        <v>0</v>
      </c>
      <c r="D42" s="11">
        <f t="shared" si="6"/>
        <v>10</v>
      </c>
      <c r="E42" s="10">
        <v>0</v>
      </c>
      <c r="F42" s="10">
        <v>0</v>
      </c>
      <c r="G42" s="11">
        <f t="shared" si="7"/>
        <v>10</v>
      </c>
    </row>
    <row r="43" spans="1:7" x14ac:dyDescent="0.25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 x14ac:dyDescent="0.25">
      <c r="A44" s="15" t="s">
        <v>9</v>
      </c>
      <c r="B44" s="16">
        <v>0</v>
      </c>
      <c r="C44" s="16">
        <v>100</v>
      </c>
      <c r="D44" s="17">
        <f t="shared" si="6"/>
        <v>100</v>
      </c>
      <c r="E44" s="16">
        <v>40</v>
      </c>
      <c r="F44" s="16">
        <v>60</v>
      </c>
      <c r="G44" s="17">
        <f t="shared" si="7"/>
        <v>0</v>
      </c>
    </row>
    <row r="45" spans="1:7" x14ac:dyDescent="0.25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 x14ac:dyDescent="0.25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 x14ac:dyDescent="0.25">
      <c r="A47" s="24" t="s">
        <v>12</v>
      </c>
      <c r="B47" s="25">
        <v>0</v>
      </c>
      <c r="C47" s="25">
        <v>50</v>
      </c>
      <c r="D47" s="26">
        <f t="shared" si="6"/>
        <v>50</v>
      </c>
      <c r="E47" s="25">
        <v>20</v>
      </c>
      <c r="F47" s="25">
        <v>30</v>
      </c>
      <c r="G47" s="26">
        <f t="shared" si="7"/>
        <v>0</v>
      </c>
    </row>
    <row r="48" spans="1:7" x14ac:dyDescent="0.25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 x14ac:dyDescent="0.25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 x14ac:dyDescent="0.25">
      <c r="A51" s="61" t="s">
        <v>55</v>
      </c>
      <c r="B51" s="62"/>
      <c r="C51" s="62"/>
      <c r="D51" s="62"/>
      <c r="E51" s="62"/>
      <c r="F51" s="62"/>
      <c r="G51" s="62"/>
    </row>
    <row r="52" spans="1:7" ht="30" x14ac:dyDescent="0.25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 x14ac:dyDescent="0.25">
      <c r="A53" s="6" t="s">
        <v>6</v>
      </c>
      <c r="B53" s="7">
        <v>6</v>
      </c>
      <c r="C53" s="7">
        <v>25</v>
      </c>
      <c r="D53" s="8">
        <f t="shared" ref="D53:D61" si="8">B53+C53</f>
        <v>31</v>
      </c>
      <c r="E53" s="7">
        <v>10</v>
      </c>
      <c r="F53" s="7">
        <v>15</v>
      </c>
      <c r="G53" s="8">
        <f t="shared" ref="G53:G61" si="9">D53-E53-F53</f>
        <v>6</v>
      </c>
    </row>
    <row r="54" spans="1:7" x14ac:dyDescent="0.25">
      <c r="A54" s="9" t="s">
        <v>7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 x14ac:dyDescent="0.25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 x14ac:dyDescent="0.25">
      <c r="A56" s="15" t="s">
        <v>9</v>
      </c>
      <c r="B56" s="16">
        <v>0</v>
      </c>
      <c r="C56" s="16">
        <v>200</v>
      </c>
      <c r="D56" s="17">
        <f t="shared" si="8"/>
        <v>200</v>
      </c>
      <c r="E56" s="16">
        <v>60</v>
      </c>
      <c r="F56" s="16">
        <v>140</v>
      </c>
      <c r="G56" s="17">
        <f t="shared" si="9"/>
        <v>0</v>
      </c>
    </row>
    <row r="57" spans="1:7" x14ac:dyDescent="0.25">
      <c r="A57" s="18" t="s">
        <v>10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 x14ac:dyDescent="0.25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 x14ac:dyDescent="0.25">
      <c r="A59" s="24" t="s">
        <v>12</v>
      </c>
      <c r="B59" s="25">
        <v>0</v>
      </c>
      <c r="C59" s="25">
        <v>50</v>
      </c>
      <c r="D59" s="26">
        <f t="shared" si="8"/>
        <v>50</v>
      </c>
      <c r="E59" s="25">
        <v>0</v>
      </c>
      <c r="F59" s="25">
        <v>50</v>
      </c>
      <c r="G59" s="26">
        <f t="shared" si="9"/>
        <v>0</v>
      </c>
    </row>
    <row r="60" spans="1:7" x14ac:dyDescent="0.25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 x14ac:dyDescent="0.25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 x14ac:dyDescent="0.25">
      <c r="A63" s="63" t="s">
        <v>54</v>
      </c>
      <c r="B63" s="64"/>
      <c r="C63" s="64"/>
      <c r="D63" s="64"/>
      <c r="E63" s="64"/>
      <c r="F63" s="64"/>
      <c r="G63" s="64"/>
    </row>
    <row r="64" spans="1:7" ht="30" x14ac:dyDescent="0.25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 x14ac:dyDescent="0.25">
      <c r="A65" s="6" t="s">
        <v>6</v>
      </c>
      <c r="B65" s="7">
        <v>42</v>
      </c>
      <c r="C65" s="7">
        <v>0</v>
      </c>
      <c r="D65" s="8">
        <f t="shared" ref="D65:D73" si="10">B65+C65</f>
        <v>42</v>
      </c>
      <c r="E65" s="7">
        <v>3</v>
      </c>
      <c r="F65" s="7">
        <v>0</v>
      </c>
      <c r="G65" s="8">
        <f t="shared" ref="G65:G73" si="11">D65-E65-F65</f>
        <v>39</v>
      </c>
    </row>
    <row r="66" spans="1:7" x14ac:dyDescent="0.25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 x14ac:dyDescent="0.25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 x14ac:dyDescent="0.25">
      <c r="A68" s="15" t="s">
        <v>9</v>
      </c>
      <c r="B68" s="16">
        <v>900</v>
      </c>
      <c r="C68" s="16">
        <v>0</v>
      </c>
      <c r="D68" s="17">
        <f t="shared" si="10"/>
        <v>900</v>
      </c>
      <c r="E68" s="16">
        <v>0</v>
      </c>
      <c r="F68" s="16">
        <v>0</v>
      </c>
      <c r="G68" s="17">
        <f t="shared" si="11"/>
        <v>900</v>
      </c>
    </row>
    <row r="69" spans="1:7" x14ac:dyDescent="0.25">
      <c r="A69" s="18" t="s">
        <v>10</v>
      </c>
      <c r="B69" s="19">
        <v>650</v>
      </c>
      <c r="C69" s="19">
        <v>0</v>
      </c>
      <c r="D69" s="20">
        <f t="shared" si="10"/>
        <v>650</v>
      </c>
      <c r="E69" s="19">
        <v>0</v>
      </c>
      <c r="F69" s="19">
        <v>0</v>
      </c>
      <c r="G69" s="20">
        <f t="shared" si="11"/>
        <v>650</v>
      </c>
    </row>
    <row r="70" spans="1:7" x14ac:dyDescent="0.25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 x14ac:dyDescent="0.25">
      <c r="A71" s="24" t="s">
        <v>12</v>
      </c>
      <c r="B71" s="25">
        <v>650</v>
      </c>
      <c r="C71" s="25">
        <v>0</v>
      </c>
      <c r="D71" s="26">
        <f t="shared" si="10"/>
        <v>650</v>
      </c>
      <c r="E71" s="25">
        <v>0</v>
      </c>
      <c r="F71" s="25">
        <v>0</v>
      </c>
      <c r="G71" s="26">
        <f t="shared" si="11"/>
        <v>650</v>
      </c>
    </row>
    <row r="72" spans="1:7" x14ac:dyDescent="0.25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 x14ac:dyDescent="0.25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 x14ac:dyDescent="0.25">
      <c r="A75" s="65" t="s">
        <v>53</v>
      </c>
      <c r="B75" s="66"/>
      <c r="C75" s="66"/>
      <c r="D75" s="66"/>
      <c r="E75" s="66"/>
      <c r="F75" s="66"/>
      <c r="G75" s="66"/>
    </row>
    <row r="76" spans="1:7" ht="30" x14ac:dyDescent="0.25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 x14ac:dyDescent="0.25">
      <c r="A77" s="6" t="s">
        <v>6</v>
      </c>
      <c r="B77" s="7">
        <v>24</v>
      </c>
      <c r="C77" s="7">
        <v>0</v>
      </c>
      <c r="D77" s="8">
        <f t="shared" ref="D77:D85" si="12">B77+C77</f>
        <v>24</v>
      </c>
      <c r="E77" s="7">
        <v>0</v>
      </c>
      <c r="F77" s="7">
        <v>0</v>
      </c>
      <c r="G77" s="8">
        <f t="shared" ref="G77:G85" si="13">D77-E77-F77</f>
        <v>24</v>
      </c>
    </row>
    <row r="78" spans="1:7" x14ac:dyDescent="0.25">
      <c r="A78" s="9" t="s">
        <v>7</v>
      </c>
      <c r="B78" s="10">
        <v>0</v>
      </c>
      <c r="C78" s="10">
        <v>0</v>
      </c>
      <c r="D78" s="11">
        <f t="shared" si="12"/>
        <v>0</v>
      </c>
      <c r="E78" s="10">
        <v>0</v>
      </c>
      <c r="F78" s="10">
        <v>0</v>
      </c>
      <c r="G78" s="11">
        <f t="shared" si="13"/>
        <v>0</v>
      </c>
    </row>
    <row r="79" spans="1:7" x14ac:dyDescent="0.25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 x14ac:dyDescent="0.25">
      <c r="A80" s="15" t="s">
        <v>9</v>
      </c>
      <c r="B80" s="16">
        <v>0</v>
      </c>
      <c r="C80" s="16">
        <v>500</v>
      </c>
      <c r="D80" s="17">
        <f t="shared" si="12"/>
        <v>500</v>
      </c>
      <c r="E80" s="16">
        <v>290</v>
      </c>
      <c r="F80" s="16">
        <v>210</v>
      </c>
      <c r="G80" s="17">
        <f t="shared" si="13"/>
        <v>0</v>
      </c>
    </row>
    <row r="81" spans="1:7" x14ac:dyDescent="0.25">
      <c r="A81" s="18" t="s">
        <v>10</v>
      </c>
      <c r="B81" s="19">
        <v>0</v>
      </c>
      <c r="C81" s="19">
        <v>100</v>
      </c>
      <c r="D81" s="20">
        <f t="shared" si="12"/>
        <v>100</v>
      </c>
      <c r="E81" s="19">
        <v>0</v>
      </c>
      <c r="F81" s="19">
        <v>0</v>
      </c>
      <c r="G81" s="20">
        <f t="shared" si="13"/>
        <v>100</v>
      </c>
    </row>
    <row r="82" spans="1:7" x14ac:dyDescent="0.25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 x14ac:dyDescent="0.25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70</v>
      </c>
      <c r="F83" s="25">
        <v>30</v>
      </c>
      <c r="G83" s="26">
        <f t="shared" si="13"/>
        <v>0</v>
      </c>
    </row>
    <row r="84" spans="1:7" x14ac:dyDescent="0.25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 x14ac:dyDescent="0.25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 x14ac:dyDescent="0.25">
      <c r="A87" s="53" t="s">
        <v>52</v>
      </c>
      <c r="B87" s="54"/>
      <c r="C87" s="54"/>
      <c r="D87" s="54"/>
      <c r="E87" s="54"/>
      <c r="F87" s="54"/>
      <c r="G87" s="54"/>
    </row>
    <row r="88" spans="1:7" ht="30" x14ac:dyDescent="0.25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 x14ac:dyDescent="0.25">
      <c r="A89" s="6" t="s">
        <v>6</v>
      </c>
      <c r="B89" s="7">
        <v>55</v>
      </c>
      <c r="C89" s="7">
        <v>0</v>
      </c>
      <c r="D89" s="8">
        <f t="shared" ref="D89:D97" si="14">B89+C89</f>
        <v>55</v>
      </c>
      <c r="E89" s="7">
        <v>0</v>
      </c>
      <c r="F89" s="7">
        <v>0</v>
      </c>
      <c r="G89" s="8">
        <f t="shared" ref="G89:G97" si="15">D89-E89-F89</f>
        <v>55</v>
      </c>
    </row>
    <row r="90" spans="1:7" x14ac:dyDescent="0.25">
      <c r="A90" s="9" t="s">
        <v>7</v>
      </c>
      <c r="B90" s="10">
        <v>10</v>
      </c>
      <c r="C90" s="10">
        <v>0</v>
      </c>
      <c r="D90" s="11">
        <f t="shared" si="14"/>
        <v>10</v>
      </c>
      <c r="E90" s="10">
        <v>6</v>
      </c>
      <c r="F90" s="10">
        <v>0</v>
      </c>
      <c r="G90" s="11">
        <f t="shared" si="15"/>
        <v>4</v>
      </c>
    </row>
    <row r="91" spans="1:7" x14ac:dyDescent="0.25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 x14ac:dyDescent="0.25">
      <c r="A92" s="15" t="s">
        <v>9</v>
      </c>
      <c r="B92" s="16">
        <v>0</v>
      </c>
      <c r="C92" s="16">
        <v>100</v>
      </c>
      <c r="D92" s="17">
        <f t="shared" si="14"/>
        <v>100</v>
      </c>
      <c r="E92" s="16">
        <v>60</v>
      </c>
      <c r="F92" s="16">
        <v>40</v>
      </c>
      <c r="G92" s="17">
        <f t="shared" si="15"/>
        <v>0</v>
      </c>
    </row>
    <row r="93" spans="1:7" x14ac:dyDescent="0.25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50</v>
      </c>
      <c r="F93" s="19">
        <v>0</v>
      </c>
      <c r="G93" s="20">
        <f t="shared" si="15"/>
        <v>0</v>
      </c>
    </row>
    <row r="94" spans="1:7" x14ac:dyDescent="0.25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 x14ac:dyDescent="0.25">
      <c r="A95" s="24" t="s">
        <v>12</v>
      </c>
      <c r="B95" s="25">
        <v>0</v>
      </c>
      <c r="C95" s="25">
        <v>100</v>
      </c>
      <c r="D95" s="26">
        <f t="shared" si="14"/>
        <v>100</v>
      </c>
      <c r="E95" s="25">
        <v>0</v>
      </c>
      <c r="F95" s="25">
        <v>100</v>
      </c>
      <c r="G95" s="26">
        <f t="shared" si="15"/>
        <v>0</v>
      </c>
    </row>
    <row r="96" spans="1:7" x14ac:dyDescent="0.25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 x14ac:dyDescent="0.25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 x14ac:dyDescent="0.25">
      <c r="A99" s="67" t="s">
        <v>51</v>
      </c>
      <c r="B99" s="68"/>
      <c r="C99" s="68"/>
      <c r="D99" s="68"/>
      <c r="E99" s="68"/>
      <c r="F99" s="68"/>
      <c r="G99" s="68"/>
    </row>
    <row r="100" spans="1:7" ht="30" x14ac:dyDescent="0.25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 x14ac:dyDescent="0.25">
      <c r="A101" s="6" t="s">
        <v>6</v>
      </c>
      <c r="B101" s="7">
        <v>10</v>
      </c>
      <c r="C101" s="7">
        <v>0</v>
      </c>
      <c r="D101" s="8">
        <f t="shared" ref="D101:D109" si="16">B101+C101</f>
        <v>10</v>
      </c>
      <c r="E101" s="7">
        <v>0</v>
      </c>
      <c r="F101" s="7">
        <v>0</v>
      </c>
      <c r="G101" s="8">
        <f t="shared" ref="G101:G109" si="17">D101-E101-F101</f>
        <v>10</v>
      </c>
    </row>
    <row r="102" spans="1:7" x14ac:dyDescent="0.25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 x14ac:dyDescent="0.25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 x14ac:dyDescent="0.25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20</v>
      </c>
      <c r="F104" s="16">
        <v>180</v>
      </c>
      <c r="G104" s="17">
        <f t="shared" si="17"/>
        <v>0</v>
      </c>
    </row>
    <row r="105" spans="1:7" x14ac:dyDescent="0.25">
      <c r="A105" s="18" t="s">
        <v>10</v>
      </c>
      <c r="B105" s="19">
        <v>0</v>
      </c>
      <c r="C105" s="19">
        <v>50</v>
      </c>
      <c r="D105" s="20">
        <f t="shared" si="16"/>
        <v>50</v>
      </c>
      <c r="E105" s="19">
        <v>0</v>
      </c>
      <c r="F105" s="19">
        <v>50</v>
      </c>
      <c r="G105" s="20">
        <f t="shared" si="17"/>
        <v>0</v>
      </c>
    </row>
    <row r="106" spans="1:7" x14ac:dyDescent="0.25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 x14ac:dyDescent="0.25">
      <c r="A107" s="24" t="s">
        <v>12</v>
      </c>
      <c r="B107" s="25">
        <v>0</v>
      </c>
      <c r="C107" s="25">
        <v>50</v>
      </c>
      <c r="D107" s="26">
        <f t="shared" si="16"/>
        <v>50</v>
      </c>
      <c r="E107" s="25">
        <v>50</v>
      </c>
      <c r="F107" s="25">
        <v>0</v>
      </c>
      <c r="G107" s="26">
        <f t="shared" si="17"/>
        <v>0</v>
      </c>
    </row>
    <row r="108" spans="1:7" x14ac:dyDescent="0.25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 x14ac:dyDescent="0.25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 x14ac:dyDescent="0.25">
      <c r="A111" s="69" t="s">
        <v>50</v>
      </c>
      <c r="B111" s="70"/>
      <c r="C111" s="70"/>
      <c r="D111" s="70"/>
      <c r="E111" s="70"/>
      <c r="F111" s="70"/>
      <c r="G111" s="70"/>
    </row>
    <row r="112" spans="1:7" ht="30" x14ac:dyDescent="0.25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 x14ac:dyDescent="0.25">
      <c r="A113" s="6" t="s">
        <v>6</v>
      </c>
      <c r="B113" s="7">
        <v>22</v>
      </c>
      <c r="C113" s="7">
        <v>0</v>
      </c>
      <c r="D113" s="8">
        <f t="shared" ref="D113:D121" si="18">B113+C113</f>
        <v>22</v>
      </c>
      <c r="E113" s="7">
        <v>0</v>
      </c>
      <c r="F113" s="7">
        <v>0</v>
      </c>
      <c r="G113" s="8">
        <f t="shared" ref="G113:G121" si="19">D113-E113-F113</f>
        <v>22</v>
      </c>
    </row>
    <row r="114" spans="1:7" x14ac:dyDescent="0.25">
      <c r="A114" s="9" t="s">
        <v>7</v>
      </c>
      <c r="B114" s="10">
        <v>25</v>
      </c>
      <c r="C114" s="10">
        <v>0</v>
      </c>
      <c r="D114" s="11">
        <f t="shared" si="18"/>
        <v>25</v>
      </c>
      <c r="E114" s="10">
        <v>0</v>
      </c>
      <c r="F114" s="10">
        <v>0</v>
      </c>
      <c r="G114" s="11">
        <f t="shared" si="19"/>
        <v>25</v>
      </c>
    </row>
    <row r="115" spans="1:7" x14ac:dyDescent="0.25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 x14ac:dyDescent="0.25">
      <c r="A116" s="15" t="s">
        <v>9</v>
      </c>
      <c r="B116" s="16">
        <v>280</v>
      </c>
      <c r="C116" s="16">
        <v>0</v>
      </c>
      <c r="D116" s="17">
        <f t="shared" si="18"/>
        <v>280</v>
      </c>
      <c r="E116" s="16">
        <v>0</v>
      </c>
      <c r="F116" s="16">
        <v>0</v>
      </c>
      <c r="G116" s="17">
        <f t="shared" si="19"/>
        <v>280</v>
      </c>
    </row>
    <row r="117" spans="1:7" x14ac:dyDescent="0.25">
      <c r="A117" s="18" t="s">
        <v>10</v>
      </c>
      <c r="B117" s="19">
        <v>230</v>
      </c>
      <c r="C117" s="19">
        <v>0</v>
      </c>
      <c r="D117" s="20">
        <f t="shared" si="18"/>
        <v>230</v>
      </c>
      <c r="E117" s="19">
        <v>0</v>
      </c>
      <c r="F117" s="19">
        <v>0</v>
      </c>
      <c r="G117" s="20">
        <f t="shared" si="19"/>
        <v>230</v>
      </c>
    </row>
    <row r="118" spans="1:7" x14ac:dyDescent="0.25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 x14ac:dyDescent="0.25">
      <c r="A119" s="24" t="s">
        <v>12</v>
      </c>
      <c r="B119" s="25">
        <v>410</v>
      </c>
      <c r="C119" s="25">
        <v>0</v>
      </c>
      <c r="D119" s="26">
        <f t="shared" si="18"/>
        <v>410</v>
      </c>
      <c r="E119" s="25">
        <v>0</v>
      </c>
      <c r="F119" s="25">
        <v>0</v>
      </c>
      <c r="G119" s="26">
        <f t="shared" si="19"/>
        <v>410</v>
      </c>
    </row>
    <row r="120" spans="1:7" x14ac:dyDescent="0.25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 x14ac:dyDescent="0.25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 x14ac:dyDescent="0.25">
      <c r="A123" s="71" t="s">
        <v>66</v>
      </c>
      <c r="B123" s="72"/>
      <c r="C123" s="72"/>
      <c r="D123" s="72"/>
      <c r="E123" s="72"/>
      <c r="F123" s="72"/>
      <c r="G123" s="72"/>
    </row>
    <row r="124" spans="1:7" ht="30" x14ac:dyDescent="0.25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 x14ac:dyDescent="0.25">
      <c r="A125" s="6" t="s">
        <v>6</v>
      </c>
      <c r="B125" s="7">
        <v>18</v>
      </c>
      <c r="C125" s="7">
        <v>11</v>
      </c>
      <c r="D125" s="8">
        <f t="shared" ref="D125:D133" si="20">B125+C125</f>
        <v>29</v>
      </c>
      <c r="E125" s="7">
        <v>14</v>
      </c>
      <c r="F125" s="7">
        <v>0</v>
      </c>
      <c r="G125" s="8">
        <f t="shared" ref="G125:G133" si="21">D125-E125-F125</f>
        <v>15</v>
      </c>
    </row>
    <row r="126" spans="1:7" x14ac:dyDescent="0.25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 x14ac:dyDescent="0.25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 x14ac:dyDescent="0.25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 x14ac:dyDescent="0.25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 x14ac:dyDescent="0.25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 x14ac:dyDescent="0.25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 x14ac:dyDescent="0.25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 x14ac:dyDescent="0.25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 x14ac:dyDescent="0.25">
      <c r="A135" s="73" t="s">
        <v>49</v>
      </c>
      <c r="B135" s="74"/>
      <c r="C135" s="74"/>
      <c r="D135" s="74"/>
      <c r="E135" s="74"/>
      <c r="F135" s="74"/>
      <c r="G135" s="74"/>
    </row>
    <row r="136" spans="1:7" ht="30" x14ac:dyDescent="0.25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 x14ac:dyDescent="0.25">
      <c r="A137" s="6" t="s">
        <v>6</v>
      </c>
      <c r="B137" s="7">
        <v>75</v>
      </c>
      <c r="C137" s="7">
        <v>0</v>
      </c>
      <c r="D137" s="8">
        <f t="shared" ref="D137:D145" si="22">B137+C137</f>
        <v>75</v>
      </c>
      <c r="E137" s="7">
        <v>0</v>
      </c>
      <c r="F137" s="7">
        <v>0</v>
      </c>
      <c r="G137" s="8">
        <f t="shared" ref="G137:G145" si="23">D137-E137-F137</f>
        <v>75</v>
      </c>
    </row>
    <row r="138" spans="1:7" x14ac:dyDescent="0.25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 x14ac:dyDescent="0.25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 x14ac:dyDescent="0.25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 x14ac:dyDescent="0.25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 x14ac:dyDescent="0.25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 x14ac:dyDescent="0.25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 x14ac:dyDescent="0.25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 x14ac:dyDescent="0.25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DJ434tYD+UXMACunHBSDMtBZsns/RFzzK9zGNNv/idEPG40atcGP/q/wWdd43U+GtFaNfOniep8bQnqASbwiIg==" saltValue="OWf884iRlooeeCAaKlEOyg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K4" sqref="K4"/>
    </sheetView>
  </sheetViews>
  <sheetFormatPr defaultColWidth="10" defaultRowHeight="15" x14ac:dyDescent="0.2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 x14ac:dyDescent="0.35">
      <c r="A1" s="100" t="s">
        <v>39</v>
      </c>
      <c r="B1" s="100"/>
    </row>
    <row r="3" spans="1:8" ht="17.25" x14ac:dyDescent="0.3">
      <c r="A3" s="99" t="s">
        <v>60</v>
      </c>
      <c r="B3" s="99"/>
      <c r="C3" s="99"/>
      <c r="D3" s="99"/>
    </row>
    <row r="4" spans="1:8" ht="60" x14ac:dyDescent="0.25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6" t="s">
        <v>6</v>
      </c>
      <c r="B5" s="8">
        <f>'Dashboard Summary'!B20</f>
        <v>31</v>
      </c>
      <c r="C5" s="7">
        <v>300</v>
      </c>
      <c r="D5" s="7">
        <v>300</v>
      </c>
      <c r="E5" s="7">
        <v>0</v>
      </c>
      <c r="F5" s="8">
        <f t="shared" ref="F5:F13" si="0">B5*C5</f>
        <v>9300</v>
      </c>
      <c r="G5" s="8">
        <f t="shared" ref="G5:G13" si="1">(B5*D5)-E5</f>
        <v>9300</v>
      </c>
      <c r="H5" s="8">
        <f t="shared" ref="H5:H13" si="2">G5-F5</f>
        <v>0</v>
      </c>
    </row>
    <row r="6" spans="1:8" x14ac:dyDescent="0.25">
      <c r="A6" s="9" t="s">
        <v>7</v>
      </c>
      <c r="B6" s="11">
        <f>'Dashboard Summary'!B21</f>
        <v>16</v>
      </c>
      <c r="C6" s="10">
        <v>323</v>
      </c>
      <c r="D6" s="10">
        <v>340</v>
      </c>
      <c r="E6" s="10">
        <v>0</v>
      </c>
      <c r="F6" s="11">
        <f t="shared" si="0"/>
        <v>5168</v>
      </c>
      <c r="G6" s="11">
        <f t="shared" si="1"/>
        <v>5440</v>
      </c>
      <c r="H6" s="11">
        <f t="shared" si="2"/>
        <v>272</v>
      </c>
    </row>
    <row r="7" spans="1:8" x14ac:dyDescent="0.25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 x14ac:dyDescent="0.25">
      <c r="A8" s="15" t="s">
        <v>9</v>
      </c>
      <c r="B8" s="17">
        <f>'Dashboard Summary'!B23</f>
        <v>520</v>
      </c>
      <c r="C8" s="16">
        <v>27.912500000000001</v>
      </c>
      <c r="D8" s="16">
        <v>28</v>
      </c>
      <c r="E8" s="16">
        <v>0</v>
      </c>
      <c r="F8" s="17">
        <f t="shared" si="0"/>
        <v>14514.5</v>
      </c>
      <c r="G8" s="17">
        <f t="shared" si="1"/>
        <v>14560</v>
      </c>
      <c r="H8" s="17">
        <f t="shared" si="2"/>
        <v>45.5</v>
      </c>
    </row>
    <row r="9" spans="1:8" x14ac:dyDescent="0.25">
      <c r="A9" s="18" t="s">
        <v>10</v>
      </c>
      <c r="B9" s="20">
        <f>'Dashboard Summary'!B24</f>
        <v>50</v>
      </c>
      <c r="C9" s="19">
        <v>37.537500000000001</v>
      </c>
      <c r="D9" s="19">
        <v>38</v>
      </c>
      <c r="E9" s="19">
        <v>0</v>
      </c>
      <c r="F9" s="20">
        <f t="shared" si="0"/>
        <v>1876.875</v>
      </c>
      <c r="G9" s="20">
        <f t="shared" si="1"/>
        <v>1900</v>
      </c>
      <c r="H9" s="20">
        <f t="shared" si="2"/>
        <v>23.125</v>
      </c>
    </row>
    <row r="10" spans="1:8" x14ac:dyDescent="0.25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 x14ac:dyDescent="0.25">
      <c r="A11" s="24" t="s">
        <v>12</v>
      </c>
      <c r="B11" s="26">
        <f>'Dashboard Summary'!B26</f>
        <v>190</v>
      </c>
      <c r="C11" s="25">
        <v>47.162500000000001</v>
      </c>
      <c r="D11" s="25">
        <v>48</v>
      </c>
      <c r="E11" s="25">
        <v>0</v>
      </c>
      <c r="F11" s="26">
        <f t="shared" si="0"/>
        <v>8960.875</v>
      </c>
      <c r="G11" s="26">
        <f t="shared" si="1"/>
        <v>9120</v>
      </c>
      <c r="H11" s="26">
        <f t="shared" si="2"/>
        <v>159.125</v>
      </c>
    </row>
    <row r="12" spans="1:8" x14ac:dyDescent="0.25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 x14ac:dyDescent="0.25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 x14ac:dyDescent="0.25">
      <c r="A14" s="97" t="s">
        <v>47</v>
      </c>
      <c r="B14" s="98"/>
      <c r="C14" s="77"/>
      <c r="D14" s="77"/>
      <c r="E14" s="77"/>
      <c r="F14" s="77"/>
      <c r="G14" s="78">
        <f>SUM(G5:G13)</f>
        <v>40320</v>
      </c>
      <c r="H14" s="78">
        <f>SUM(H5:H13)</f>
        <v>499.75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2026-06-09T08:15:24Z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