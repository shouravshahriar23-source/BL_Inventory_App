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Python master data 2 page\uploaded_files\"/>
    </mc:Choice>
  </mc:AlternateContent>
  <xr:revisionPtr revIDLastSave="0" documentId="13_ncr:1_{CAAB5FB3-5E5E-4ECD-9E38-C149A1D900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shboard Summary" sheetId="1" r:id="rId1"/>
    <sheet name="Daily Data Entry" sheetId="2" r:id="rId2"/>
    <sheet name="Daily Profit &amp; Ac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/>
  <c r="D22" i="1"/>
  <c r="D23" i="1"/>
  <c r="D24" i="1"/>
  <c r="D25" i="1"/>
  <c r="D26" i="1"/>
  <c r="D27" i="1"/>
  <c r="D28" i="1"/>
  <c r="D20" i="1"/>
  <c r="D145" i="2"/>
  <c r="G145" i="2" s="1"/>
  <c r="J44" i="1" s="1"/>
  <c r="D144" i="2"/>
  <c r="G144" i="2" s="1"/>
  <c r="I44" i="1" s="1"/>
  <c r="D143" i="2"/>
  <c r="G143" i="2" s="1"/>
  <c r="H44" i="1" s="1"/>
  <c r="G142" i="2"/>
  <c r="G44" i="1" s="1"/>
  <c r="D142" i="2"/>
  <c r="D141" i="2"/>
  <c r="G141" i="2" s="1"/>
  <c r="F44" i="1" s="1"/>
  <c r="D140" i="2"/>
  <c r="G140" i="2" s="1"/>
  <c r="E44" i="1" s="1"/>
  <c r="D139" i="2"/>
  <c r="G139" i="2" s="1"/>
  <c r="D44" i="1" s="1"/>
  <c r="D138" i="2"/>
  <c r="G138" i="2" s="1"/>
  <c r="C44" i="1" s="1"/>
  <c r="D137" i="2"/>
  <c r="G137" i="2" s="1"/>
  <c r="B44" i="1" s="1"/>
  <c r="D133" i="2"/>
  <c r="G133" i="2" s="1"/>
  <c r="J43" i="1" s="1"/>
  <c r="D132" i="2"/>
  <c r="G132" i="2" s="1"/>
  <c r="I43" i="1" s="1"/>
  <c r="D131" i="2"/>
  <c r="G131" i="2" s="1"/>
  <c r="H43" i="1" s="1"/>
  <c r="D130" i="2"/>
  <c r="G130" i="2" s="1"/>
  <c r="G43" i="1" s="1"/>
  <c r="G129" i="2"/>
  <c r="F43" i="1" s="1"/>
  <c r="D129" i="2"/>
  <c r="D128" i="2"/>
  <c r="G128" i="2" s="1"/>
  <c r="E43" i="1" s="1"/>
  <c r="D127" i="2"/>
  <c r="G127" i="2" s="1"/>
  <c r="D43" i="1" s="1"/>
  <c r="D126" i="2"/>
  <c r="G126" i="2" s="1"/>
  <c r="C43" i="1" s="1"/>
  <c r="D125" i="2"/>
  <c r="G125" i="2" s="1"/>
  <c r="B43" i="1" s="1"/>
  <c r="D121" i="2"/>
  <c r="G121" i="2" s="1"/>
  <c r="J42" i="1" s="1"/>
  <c r="D120" i="2"/>
  <c r="G120" i="2" s="1"/>
  <c r="I42" i="1" s="1"/>
  <c r="D119" i="2"/>
  <c r="G119" i="2" s="1"/>
  <c r="H42" i="1" s="1"/>
  <c r="D118" i="2"/>
  <c r="G118" i="2" s="1"/>
  <c r="G42" i="1" s="1"/>
  <c r="D117" i="2"/>
  <c r="G117" i="2" s="1"/>
  <c r="F42" i="1" s="1"/>
  <c r="D116" i="2"/>
  <c r="G116" i="2" s="1"/>
  <c r="E42" i="1" s="1"/>
  <c r="D115" i="2"/>
  <c r="G115" i="2" s="1"/>
  <c r="D42" i="1" s="1"/>
  <c r="D114" i="2"/>
  <c r="G114" i="2" s="1"/>
  <c r="C42" i="1" s="1"/>
  <c r="D113" i="2"/>
  <c r="G113" i="2" s="1"/>
  <c r="B42" i="1" s="1"/>
  <c r="D109" i="2"/>
  <c r="G109" i="2" s="1"/>
  <c r="J41" i="1" s="1"/>
  <c r="D108" i="2"/>
  <c r="G108" i="2" s="1"/>
  <c r="I41" i="1" s="1"/>
  <c r="G107" i="2"/>
  <c r="H41" i="1" s="1"/>
  <c r="D107" i="2"/>
  <c r="D106" i="2"/>
  <c r="G106" i="2" s="1"/>
  <c r="G41" i="1" s="1"/>
  <c r="D105" i="2"/>
  <c r="G105" i="2" s="1"/>
  <c r="F41" i="1" s="1"/>
  <c r="D104" i="2"/>
  <c r="G104" i="2" s="1"/>
  <c r="E41" i="1" s="1"/>
  <c r="D103" i="2"/>
  <c r="G103" i="2" s="1"/>
  <c r="D41" i="1" s="1"/>
  <c r="D102" i="2"/>
  <c r="G102" i="2" s="1"/>
  <c r="C41" i="1" s="1"/>
  <c r="D101" i="2"/>
  <c r="G101" i="2" s="1"/>
  <c r="B41" i="1" s="1"/>
  <c r="D97" i="2"/>
  <c r="G97" i="2" s="1"/>
  <c r="J40" i="1" s="1"/>
  <c r="D96" i="2"/>
  <c r="G96" i="2" s="1"/>
  <c r="I40" i="1" s="1"/>
  <c r="D95" i="2"/>
  <c r="G95" i="2" s="1"/>
  <c r="H40" i="1" s="1"/>
  <c r="D94" i="2"/>
  <c r="G94" i="2" s="1"/>
  <c r="G40" i="1" s="1"/>
  <c r="D93" i="2"/>
  <c r="G93" i="2" s="1"/>
  <c r="F40" i="1" s="1"/>
  <c r="D92" i="2"/>
  <c r="G92" i="2" s="1"/>
  <c r="E40" i="1" s="1"/>
  <c r="D91" i="2"/>
  <c r="G91" i="2" s="1"/>
  <c r="D40" i="1" s="1"/>
  <c r="D90" i="2"/>
  <c r="G90" i="2" s="1"/>
  <c r="C40" i="1" s="1"/>
  <c r="D89" i="2"/>
  <c r="G89" i="2" s="1"/>
  <c r="B40" i="1" s="1"/>
  <c r="D85" i="2"/>
  <c r="G85" i="2" s="1"/>
  <c r="J39" i="1" s="1"/>
  <c r="D84" i="2"/>
  <c r="G84" i="2" s="1"/>
  <c r="I39" i="1" s="1"/>
  <c r="D83" i="2"/>
  <c r="G83" i="2" s="1"/>
  <c r="H39" i="1" s="1"/>
  <c r="D82" i="2"/>
  <c r="G82" i="2" s="1"/>
  <c r="G39" i="1" s="1"/>
  <c r="D81" i="2"/>
  <c r="G81" i="2" s="1"/>
  <c r="F39" i="1" s="1"/>
  <c r="D80" i="2"/>
  <c r="G80" i="2" s="1"/>
  <c r="E39" i="1" s="1"/>
  <c r="G79" i="2"/>
  <c r="D39" i="1" s="1"/>
  <c r="D79" i="2"/>
  <c r="D78" i="2"/>
  <c r="G78" i="2" s="1"/>
  <c r="C39" i="1" s="1"/>
  <c r="D77" i="2"/>
  <c r="G77" i="2" s="1"/>
  <c r="B39" i="1" s="1"/>
  <c r="D73" i="2"/>
  <c r="G73" i="2" s="1"/>
  <c r="J38" i="1" s="1"/>
  <c r="D72" i="2"/>
  <c r="G72" i="2" s="1"/>
  <c r="I38" i="1" s="1"/>
  <c r="D71" i="2"/>
  <c r="G71" i="2" s="1"/>
  <c r="H38" i="1" s="1"/>
  <c r="D70" i="2"/>
  <c r="G70" i="2" s="1"/>
  <c r="G38" i="1" s="1"/>
  <c r="D69" i="2"/>
  <c r="G69" i="2" s="1"/>
  <c r="F38" i="1" s="1"/>
  <c r="D68" i="2"/>
  <c r="G68" i="2" s="1"/>
  <c r="E38" i="1" s="1"/>
  <c r="D67" i="2"/>
  <c r="G67" i="2" s="1"/>
  <c r="D38" i="1" s="1"/>
  <c r="D66" i="2"/>
  <c r="G66" i="2" s="1"/>
  <c r="C38" i="1" s="1"/>
  <c r="D65" i="2"/>
  <c r="G65" i="2" s="1"/>
  <c r="B38" i="1" s="1"/>
  <c r="D61" i="2"/>
  <c r="G61" i="2" s="1"/>
  <c r="J37" i="1" s="1"/>
  <c r="D60" i="2"/>
  <c r="G60" i="2" s="1"/>
  <c r="I37" i="1" s="1"/>
  <c r="D59" i="2"/>
  <c r="G59" i="2" s="1"/>
  <c r="H37" i="1" s="1"/>
  <c r="D58" i="2"/>
  <c r="G58" i="2" s="1"/>
  <c r="G37" i="1" s="1"/>
  <c r="D57" i="2"/>
  <c r="G57" i="2" s="1"/>
  <c r="F37" i="1" s="1"/>
  <c r="D56" i="2"/>
  <c r="G56" i="2" s="1"/>
  <c r="E37" i="1" s="1"/>
  <c r="G55" i="2"/>
  <c r="D37" i="1" s="1"/>
  <c r="D55" i="2"/>
  <c r="D54" i="2"/>
  <c r="G54" i="2" s="1"/>
  <c r="C37" i="1" s="1"/>
  <c r="D53" i="2"/>
  <c r="G53" i="2" s="1"/>
  <c r="B37" i="1" s="1"/>
  <c r="D49" i="2"/>
  <c r="G49" i="2" s="1"/>
  <c r="J36" i="1" s="1"/>
  <c r="D48" i="2"/>
  <c r="G48" i="2" s="1"/>
  <c r="I36" i="1" s="1"/>
  <c r="D47" i="2"/>
  <c r="G47" i="2" s="1"/>
  <c r="H36" i="1" s="1"/>
  <c r="D46" i="2"/>
  <c r="G46" i="2" s="1"/>
  <c r="G36" i="1" s="1"/>
  <c r="D45" i="2"/>
  <c r="G45" i="2" s="1"/>
  <c r="F36" i="1" s="1"/>
  <c r="D44" i="2"/>
  <c r="G44" i="2" s="1"/>
  <c r="E36" i="1" s="1"/>
  <c r="D43" i="2"/>
  <c r="G43" i="2" s="1"/>
  <c r="D42" i="2"/>
  <c r="G42" i="2" s="1"/>
  <c r="C36" i="1" s="1"/>
  <c r="D41" i="2"/>
  <c r="G41" i="2" s="1"/>
  <c r="B36" i="1" s="1"/>
  <c r="G37" i="2"/>
  <c r="J35" i="1" s="1"/>
  <c r="D37" i="2"/>
  <c r="D36" i="2"/>
  <c r="G36" i="2" s="1"/>
  <c r="I35" i="1" s="1"/>
  <c r="D35" i="2"/>
  <c r="G35" i="2" s="1"/>
  <c r="H35" i="1" s="1"/>
  <c r="D34" i="2"/>
  <c r="G34" i="2" s="1"/>
  <c r="G35" i="1" s="1"/>
  <c r="D33" i="2"/>
  <c r="G33" i="2" s="1"/>
  <c r="F35" i="1" s="1"/>
  <c r="D32" i="2"/>
  <c r="G32" i="2" s="1"/>
  <c r="E35" i="1" s="1"/>
  <c r="D31" i="2"/>
  <c r="G31" i="2" s="1"/>
  <c r="D35" i="1" s="1"/>
  <c r="D30" i="2"/>
  <c r="G30" i="2" s="1"/>
  <c r="C35" i="1" s="1"/>
  <c r="D29" i="2"/>
  <c r="G29" i="2" s="1"/>
  <c r="B35" i="1" s="1"/>
  <c r="D25" i="2"/>
  <c r="G25" i="2" s="1"/>
  <c r="D24" i="2"/>
  <c r="G24" i="2" s="1"/>
  <c r="I34" i="1" s="1"/>
  <c r="D23" i="2"/>
  <c r="G23" i="2" s="1"/>
  <c r="H34" i="1" s="1"/>
  <c r="D22" i="2"/>
  <c r="G22" i="2" s="1"/>
  <c r="G34" i="1" s="1"/>
  <c r="D21" i="2"/>
  <c r="G21" i="2" s="1"/>
  <c r="F34" i="1" s="1"/>
  <c r="D20" i="2"/>
  <c r="G20" i="2" s="1"/>
  <c r="D19" i="2"/>
  <c r="G19" i="2" s="1"/>
  <c r="D18" i="2"/>
  <c r="G18" i="2" s="1"/>
  <c r="D17" i="2"/>
  <c r="G17" i="2" s="1"/>
  <c r="B34" i="1" s="1"/>
  <c r="G13" i="2"/>
  <c r="J33" i="1" s="1"/>
  <c r="D13" i="2"/>
  <c r="D12" i="2"/>
  <c r="G12" i="2" s="1"/>
  <c r="I33" i="1" s="1"/>
  <c r="D11" i="2"/>
  <c r="G11" i="2" s="1"/>
  <c r="H33" i="1" s="1"/>
  <c r="D10" i="2"/>
  <c r="G10" i="2" s="1"/>
  <c r="G33" i="1" s="1"/>
  <c r="D9" i="2"/>
  <c r="G9" i="2" s="1"/>
  <c r="F33" i="1" s="1"/>
  <c r="D8" i="2"/>
  <c r="G8" i="2" s="1"/>
  <c r="E33" i="1" s="1"/>
  <c r="D7" i="2"/>
  <c r="G7" i="2" s="1"/>
  <c r="D33" i="1" s="1"/>
  <c r="D6" i="2"/>
  <c r="G6" i="2" s="1"/>
  <c r="C33" i="1" s="1"/>
  <c r="D5" i="2"/>
  <c r="G5" i="2" s="1"/>
  <c r="B33" i="1" s="1"/>
  <c r="D36" i="1"/>
  <c r="J34" i="1"/>
  <c r="D34" i="1"/>
  <c r="B28" i="1"/>
  <c r="B13" i="3" s="1"/>
  <c r="F13" i="3" s="1"/>
  <c r="B27" i="1"/>
  <c r="B12" i="3" s="1"/>
  <c r="F12" i="3" s="1"/>
  <c r="B26" i="1"/>
  <c r="B11" i="3" s="1"/>
  <c r="F11" i="3" s="1"/>
  <c r="B25" i="1"/>
  <c r="B10" i="3" s="1"/>
  <c r="F10" i="3" s="1"/>
  <c r="B24" i="1"/>
  <c r="B9" i="3" s="1"/>
  <c r="F9" i="3" s="1"/>
  <c r="B23" i="1"/>
  <c r="B8" i="3" s="1"/>
  <c r="F8" i="3" s="1"/>
  <c r="B22" i="1"/>
  <c r="B7" i="3" s="1"/>
  <c r="F7" i="3" s="1"/>
  <c r="B21" i="1"/>
  <c r="B6" i="3" s="1"/>
  <c r="F6" i="3" s="1"/>
  <c r="B20" i="1"/>
  <c r="B5" i="3" s="1"/>
  <c r="F5" i="3" s="1"/>
  <c r="C15" i="1"/>
  <c r="D15" i="1" s="1"/>
  <c r="C14" i="1"/>
  <c r="D14" i="1" s="1"/>
  <c r="C13" i="1"/>
  <c r="C12" i="1"/>
  <c r="D12" i="1" s="1"/>
  <c r="C11" i="1"/>
  <c r="D11" i="1" s="1"/>
  <c r="C10" i="1"/>
  <c r="C9" i="1"/>
  <c r="D9" i="1" s="1"/>
  <c r="C8" i="1"/>
  <c r="C7" i="1"/>
  <c r="D8" i="1" l="1"/>
  <c r="I45" i="1"/>
  <c r="D7" i="1"/>
  <c r="D13" i="1"/>
  <c r="D10" i="1"/>
  <c r="J45" i="1"/>
  <c r="D45" i="1"/>
  <c r="C27" i="1"/>
  <c r="C28" i="1"/>
  <c r="G45" i="1"/>
  <c r="C34" i="1"/>
  <c r="C45" i="1" s="1"/>
  <c r="C21" i="1"/>
  <c r="C25" i="1"/>
  <c r="H45" i="1"/>
  <c r="F45" i="1"/>
  <c r="E34" i="1"/>
  <c r="E45" i="1" s="1"/>
  <c r="C23" i="1"/>
  <c r="B45" i="1"/>
  <c r="G10" i="3"/>
  <c r="H10" i="3" s="1"/>
  <c r="G13" i="3"/>
  <c r="H13" i="3" s="1"/>
  <c r="G6" i="3"/>
  <c r="H6" i="3" s="1"/>
  <c r="G9" i="3"/>
  <c r="H9" i="3" s="1"/>
  <c r="G5" i="3"/>
  <c r="C20" i="1"/>
  <c r="C22" i="1"/>
  <c r="C24" i="1"/>
  <c r="C26" i="1"/>
  <c r="G7" i="3"/>
  <c r="H7" i="3" s="1"/>
  <c r="G11" i="3"/>
  <c r="H11" i="3" s="1"/>
  <c r="G8" i="3"/>
  <c r="H8" i="3" s="1"/>
  <c r="G12" i="3"/>
  <c r="H12" i="3" s="1"/>
  <c r="H5" i="3" l="1"/>
  <c r="H14" i="3" s="1"/>
  <c r="G14" i="3"/>
</calcChain>
</file>

<file path=xl/sharedStrings.xml><?xml version="1.0" encoding="utf-8"?>
<sst xmlns="http://schemas.openxmlformats.org/spreadsheetml/2006/main" count="290" uniqueCount="67">
  <si>
    <t>তারিখ ও সময় (Date &amp; Time):</t>
  </si>
  <si>
    <t>Main House Inventory &amp; SR Summary Dashboard</t>
  </si>
  <si>
    <t>১. হাউজের মূল স্টক হিসেব (Main House Inventory)</t>
  </si>
  <si>
    <t>প্রোডাক্টের নাম (Product)</t>
  </si>
  <si>
    <t>SR-দের দেওয়া হয়েছে (Total Issued)</t>
  </si>
  <si>
    <t>হাউজে বর্তমানে আছে (Current House Stock)</t>
  </si>
  <si>
    <t>Sim</t>
  </si>
  <si>
    <t>Swap sim</t>
  </si>
  <si>
    <t>EV Swap sim</t>
  </si>
  <si>
    <t>29 Taka Card</t>
  </si>
  <si>
    <t>39 Taka Card</t>
  </si>
  <si>
    <t>49 Taka minute</t>
  </si>
  <si>
    <t>49 Taka MB card</t>
  </si>
  <si>
    <t>39 Taka MB</t>
  </si>
  <si>
    <t>99 Taka minute</t>
  </si>
  <si>
    <t>২. মোট বিক্রি ও মার্কেট হোল্ড সামারি (Overall Sales &amp; Market Hold)</t>
  </si>
  <si>
    <t>আজকের মোট বিক্রি (Total Sales)</t>
  </si>
  <si>
    <t>SR-দের কাছে আটকে আছে (Total Hold in Market)</t>
  </si>
  <si>
    <t>৩. কার কাছে বর্তমানে কি প্রোডাক্ট রয়েছে (SR Wise Closing Stock Breakdown)</t>
  </si>
  <si>
    <t>SR-এর নাম (SR Name)</t>
  </si>
  <si>
    <t>Rubel</t>
  </si>
  <si>
    <t>Razo</t>
  </si>
  <si>
    <t>Fazlo</t>
  </si>
  <si>
    <t>Mijanur</t>
  </si>
  <si>
    <t>Robin</t>
  </si>
  <si>
    <t>Zihad</t>
  </si>
  <si>
    <t>Masud</t>
  </si>
  <si>
    <t>Al amin</t>
  </si>
  <si>
    <t>Minhaj</t>
  </si>
  <si>
    <t>Asad</t>
  </si>
  <si>
    <t>Alamgir</t>
  </si>
  <si>
    <t>Tamjin</t>
  </si>
  <si>
    <t>Daily SR Issue, Sales &amp; Return Entry</t>
  </si>
  <si>
    <t>আগের দিনের বাকি (Opening)</t>
  </si>
  <si>
    <t>নতুন ইস্যু (New Issue)</t>
  </si>
  <si>
    <t>মোট স্টক (Total Stock)</t>
  </si>
  <si>
    <t>বিক্রি (Sales)</t>
  </si>
  <si>
    <t>ফেরত (Return)</t>
  </si>
  <si>
    <t>কাছে রয়ে গেলো (Closing)</t>
  </si>
  <si>
    <t>Daily Profit &amp; Accounts Tracker</t>
  </si>
  <si>
    <t>আজকের মোট বিক্রি সংখ্যা (Total Qty Sold)</t>
  </si>
  <si>
    <t>ইউনিট কেনা দাম (Cost Price/Unit)</t>
  </si>
  <si>
    <t>স্বাভাবিক বিক্রি দাম (Reg. Sale Price/Unit)</t>
  </si>
  <si>
    <t>ডিসকাউন্ট/লেস দেওয়া মূল্য (Less/Discount Total)</t>
  </si>
  <si>
    <t>মোট কেনা দাম (Total Cost)</t>
  </si>
  <si>
    <t>মোট প্রকৃত বিক্রি মূল্য (Total Revenue)</t>
  </si>
  <si>
    <t>মোট প্রফিট (Net Profit)</t>
  </si>
  <si>
    <t>মোট প্রোডাক্ট প্রফিট (Total Product Profit)</t>
  </si>
  <si>
    <t>Total</t>
  </si>
  <si>
    <t>BP: Tamjin</t>
  </si>
  <si>
    <t>RSO: Asad</t>
  </si>
  <si>
    <t>RSO: Minhaj</t>
  </si>
  <si>
    <t>RSO: Al amin</t>
  </si>
  <si>
    <t>RSO: Masud</t>
  </si>
  <si>
    <t>RSO: Zihad</t>
  </si>
  <si>
    <t>RSO: Robin</t>
  </si>
  <si>
    <t>RSO: Mijanur</t>
  </si>
  <si>
    <t>RSO: Fazlo</t>
  </si>
  <si>
    <t>RSO: Razo</t>
  </si>
  <si>
    <t>RSO: Rubel</t>
  </si>
  <si>
    <t>প্রোডাক্ট ভিত্তিক লাভ-ক্ষতি হিসেব (Product-wise Profit/Loss)</t>
  </si>
  <si>
    <t>প্রোডাক্টের নাম (Product Name)</t>
  </si>
  <si>
    <t>SR-দের থেকে ফেরত (Total Return From SR)</t>
  </si>
  <si>
    <t>নতুন করে আনা হয়েছে (Receive Product From Main House)</t>
  </si>
  <si>
    <t>পরিমান (Quantity)</t>
  </si>
  <si>
    <t>হাউজের ওপেনিং স্টক (Opening Stock)</t>
  </si>
  <si>
    <t>Supervisor : Alamgir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</si>
</sst>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4" x14ac:knownFonts="1">
    <font>
      <sz val="11"/>
      <name val="Calibri"/>
    </font>
    <font>
      <b/>
      <sz val="11"/>
      <color rgb="FF333333"/>
      <name val="Calibri"/>
      <family val="2"/>
    </font>
    <font>
      <b/>
      <sz val="11"/>
      <color rgb="FFC0392B"/>
      <name val="Calibri"/>
      <family val="2"/>
    </font>
    <font>
      <b/>
      <sz val="16"/>
      <color rgb="FF1F4E78"/>
      <name val="Calibri"/>
      <family val="2"/>
    </font>
    <font>
      <b/>
      <sz val="13"/>
      <color rgb="FF2C3E5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6"/>
      <color theme="0"/>
      <name val="Calibri"/>
      <family val="2"/>
    </font>
    <font>
      <sz val="14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2"/>
      <color theme="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E6F0FA"/>
        <bgColor rgb="FFE6F0FA"/>
      </patternFill>
    </fill>
    <fill>
      <patternFill patternType="solid">
        <fgColor rgb="FFE6F2E6"/>
        <bgColor rgb="FFE6F2E6"/>
      </patternFill>
    </fill>
    <fill>
      <patternFill patternType="solid">
        <fgColor rgb="FFFDF2E9"/>
        <bgColor rgb="FFFDF2E9"/>
      </patternFill>
    </fill>
    <fill>
      <patternFill patternType="solid">
        <fgColor rgb="FFF5EEF8"/>
        <bgColor rgb="FFF5EEF8"/>
      </patternFill>
    </fill>
    <fill>
      <patternFill patternType="solid">
        <fgColor rgb="FFFEEFEE"/>
        <bgColor rgb="FFFEEFEE"/>
      </patternFill>
    </fill>
    <fill>
      <patternFill patternType="solid">
        <fgColor rgb="FFEBF5FB"/>
        <bgColor rgb="FFEBF5FB"/>
      </patternFill>
    </fill>
    <fill>
      <patternFill patternType="solid">
        <fgColor rgb="FFF9E79F"/>
        <bgColor rgb="FFF9E79F"/>
      </patternFill>
    </fill>
    <fill>
      <patternFill patternType="solid">
        <fgColor rgb="FFE5E8E8"/>
        <bgColor rgb="FFE5E8E8"/>
      </patternFill>
    </fill>
    <fill>
      <patternFill patternType="solid">
        <fgColor rgb="FFE8F8F5"/>
        <bgColor rgb="FFE8F8F5"/>
      </patternFill>
    </fill>
    <fill>
      <patternFill patternType="solid">
        <fgColor rgb="FFF4ECF7"/>
        <bgColor rgb="FFF4ECF7"/>
      </patternFill>
    </fill>
    <fill>
      <patternFill patternType="solid">
        <fgColor rgb="FFEBDEF0"/>
        <bgColor rgb="FFEBDEF0"/>
      </patternFill>
    </fill>
    <fill>
      <patternFill patternType="solid">
        <fgColor rgb="FFEAFAF1"/>
        <bgColor rgb="FFEAFAF1"/>
      </patternFill>
    </fill>
    <fill>
      <patternFill patternType="solid">
        <fgColor rgb="FFFED8B1"/>
        <bgColor rgb="FFFED8B1"/>
      </patternFill>
    </fill>
    <fill>
      <patternFill patternType="solid">
        <fgColor rgb="FFFADBD8"/>
        <bgColor rgb="FFFADBD8"/>
      </patternFill>
    </fill>
    <fill>
      <patternFill patternType="solid">
        <fgColor rgb="FFD6EAF8"/>
        <bgColor rgb="FFD6EAF8"/>
      </patternFill>
    </fill>
    <fill>
      <patternFill patternType="solid">
        <fgColor rgb="FFFCF3CF"/>
        <bgColor rgb="FFFCF3CF"/>
      </patternFill>
    </fill>
    <fill>
      <patternFill patternType="solid">
        <fgColor rgb="FFD1F2EB"/>
        <bgColor rgb="FFD1F2EB"/>
      </patternFill>
    </fill>
    <fill>
      <patternFill patternType="solid">
        <fgColor rgb="FFEAECEE"/>
        <bgColor rgb="FFEAECEE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499984740745262"/>
        <bgColor rgb="FF1F4E78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 applyAlignment="1">
      <alignment vertical="center"/>
    </xf>
    <xf numFmtId="0" fontId="1" fillId="0" borderId="0" xfId="0" applyFont="1" applyAlignment="1"/>
    <xf numFmtId="164" fontId="2" fillId="0" borderId="0" xfId="0" applyNumberFormat="1" applyFont="1" applyAlignment="1" applyProtection="1">
      <protection locked="0"/>
    </xf>
    <xf numFmtId="0" fontId="3" fillId="0" borderId="0" xfId="0" applyFont="1" applyAlignment="1"/>
    <xf numFmtId="0" fontId="4" fillId="0" borderId="0" xfId="0" applyFont="1" applyAlignment="1"/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/>
    <xf numFmtId="0" fontId="6" fillId="3" borderId="1" xfId="0" applyFont="1" applyFill="1" applyBorder="1" applyAlignment="1" applyProtection="1">
      <alignment horizontal="right"/>
      <protection locked="0"/>
    </xf>
    <xf numFmtId="0" fontId="6" fillId="3" borderId="1" xfId="0" applyFont="1" applyFill="1" applyBorder="1" applyAlignment="1">
      <alignment horizontal="right"/>
    </xf>
    <xf numFmtId="0" fontId="6" fillId="4" borderId="1" xfId="0" applyFont="1" applyFill="1" applyBorder="1" applyAlignment="1"/>
    <xf numFmtId="0" fontId="6" fillId="4" borderId="1" xfId="0" applyFont="1" applyFill="1" applyBorder="1" applyAlignment="1" applyProtection="1">
      <alignment horizontal="right"/>
      <protection locked="0"/>
    </xf>
    <xf numFmtId="0" fontId="6" fillId="4" borderId="1" xfId="0" applyFont="1" applyFill="1" applyBorder="1" applyAlignment="1">
      <alignment horizontal="right"/>
    </xf>
    <xf numFmtId="0" fontId="6" fillId="5" borderId="1" xfId="0" applyFont="1" applyFill="1" applyBorder="1" applyAlignment="1"/>
    <xf numFmtId="0" fontId="6" fillId="5" borderId="1" xfId="0" applyFont="1" applyFill="1" applyBorder="1" applyAlignment="1" applyProtection="1">
      <alignment horizontal="right"/>
      <protection locked="0"/>
    </xf>
    <xf numFmtId="0" fontId="6" fillId="5" borderId="1" xfId="0" applyFont="1" applyFill="1" applyBorder="1" applyAlignment="1">
      <alignment horizontal="right"/>
    </xf>
    <xf numFmtId="0" fontId="6" fillId="6" borderId="1" xfId="0" applyFont="1" applyFill="1" applyBorder="1" applyAlignment="1"/>
    <xf numFmtId="0" fontId="6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>
      <alignment horizontal="right"/>
    </xf>
    <xf numFmtId="0" fontId="6" fillId="7" borderId="1" xfId="0" applyFont="1" applyFill="1" applyBorder="1" applyAlignment="1"/>
    <xf numFmtId="0" fontId="6" fillId="7" borderId="1" xfId="0" applyFont="1" applyFill="1" applyBorder="1" applyAlignment="1" applyProtection="1">
      <alignment horizontal="right"/>
      <protection locked="0"/>
    </xf>
    <xf numFmtId="0" fontId="6" fillId="7" borderId="1" xfId="0" applyFont="1" applyFill="1" applyBorder="1" applyAlignment="1">
      <alignment horizontal="right"/>
    </xf>
    <xf numFmtId="0" fontId="6" fillId="8" borderId="1" xfId="0" applyFont="1" applyFill="1" applyBorder="1" applyAlignment="1"/>
    <xf numFmtId="0" fontId="6" fillId="8" borderId="1" xfId="0" applyFont="1" applyFill="1" applyBorder="1" applyAlignment="1" applyProtection="1">
      <alignment horizontal="right"/>
      <protection locked="0"/>
    </xf>
    <xf numFmtId="0" fontId="6" fillId="8" borderId="1" xfId="0" applyFont="1" applyFill="1" applyBorder="1" applyAlignment="1">
      <alignment horizontal="right"/>
    </xf>
    <xf numFmtId="0" fontId="6" fillId="9" borderId="1" xfId="0" applyFont="1" applyFill="1" applyBorder="1" applyAlignment="1"/>
    <xf numFmtId="0" fontId="6" fillId="9" borderId="1" xfId="0" applyFont="1" applyFill="1" applyBorder="1" applyAlignment="1" applyProtection="1">
      <alignment horizontal="right"/>
      <protection locked="0"/>
    </xf>
    <xf numFmtId="0" fontId="6" fillId="9" borderId="1" xfId="0" applyFont="1" applyFill="1" applyBorder="1" applyAlignment="1">
      <alignment horizontal="right"/>
    </xf>
    <xf numFmtId="0" fontId="6" fillId="10" borderId="1" xfId="0" applyFont="1" applyFill="1" applyBorder="1" applyAlignment="1"/>
    <xf numFmtId="0" fontId="6" fillId="10" borderId="1" xfId="0" applyFont="1" applyFill="1" applyBorder="1" applyAlignment="1" applyProtection="1">
      <alignment horizontal="right"/>
      <protection locked="0"/>
    </xf>
    <xf numFmtId="0" fontId="6" fillId="10" borderId="1" xfId="0" applyFont="1" applyFill="1" applyBorder="1" applyAlignment="1">
      <alignment horizontal="right"/>
    </xf>
    <xf numFmtId="0" fontId="6" fillId="11" borderId="1" xfId="0" applyFont="1" applyFill="1" applyBorder="1" applyAlignment="1"/>
    <xf numFmtId="0" fontId="6" fillId="11" borderId="1" xfId="0" applyFont="1" applyFill="1" applyBorder="1" applyAlignment="1" applyProtection="1">
      <alignment horizontal="right"/>
      <protection locked="0"/>
    </xf>
    <xf numFmtId="0" fontId="6" fillId="11" borderId="1" xfId="0" applyFont="1" applyFill="1" applyBorder="1" applyAlignment="1">
      <alignment horizontal="right"/>
    </xf>
    <xf numFmtId="0" fontId="6" fillId="12" borderId="1" xfId="0" applyFont="1" applyFill="1" applyBorder="1" applyAlignment="1"/>
    <xf numFmtId="0" fontId="6" fillId="12" borderId="1" xfId="0" applyFont="1" applyFill="1" applyBorder="1" applyAlignment="1">
      <alignment horizontal="right"/>
    </xf>
    <xf numFmtId="0" fontId="6" fillId="13" borderId="1" xfId="0" applyFont="1" applyFill="1" applyBorder="1" applyAlignment="1"/>
    <xf numFmtId="0" fontId="6" fillId="13" borderId="1" xfId="0" applyFont="1" applyFill="1" applyBorder="1" applyAlignment="1">
      <alignment horizontal="right"/>
    </xf>
    <xf numFmtId="0" fontId="6" fillId="14" borderId="1" xfId="0" applyFont="1" applyFill="1" applyBorder="1" applyAlignment="1"/>
    <xf numFmtId="0" fontId="6" fillId="14" borderId="1" xfId="0" applyFont="1" applyFill="1" applyBorder="1" applyAlignment="1">
      <alignment horizontal="right"/>
    </xf>
    <xf numFmtId="0" fontId="6" fillId="15" borderId="1" xfId="0" applyFont="1" applyFill="1" applyBorder="1" applyAlignment="1"/>
    <xf numFmtId="0" fontId="6" fillId="15" borderId="1" xfId="0" applyFont="1" applyFill="1" applyBorder="1" applyAlignment="1">
      <alignment horizontal="right"/>
    </xf>
    <xf numFmtId="0" fontId="6" fillId="16" borderId="1" xfId="0" applyFont="1" applyFill="1" applyBorder="1" applyAlignment="1"/>
    <xf numFmtId="0" fontId="6" fillId="16" borderId="1" xfId="0" applyFont="1" applyFill="1" applyBorder="1" applyAlignment="1">
      <alignment horizontal="right"/>
    </xf>
    <xf numFmtId="0" fontId="6" fillId="17" borderId="1" xfId="0" applyFont="1" applyFill="1" applyBorder="1" applyAlignment="1"/>
    <xf numFmtId="0" fontId="6" fillId="17" borderId="1" xfId="0" applyFont="1" applyFill="1" applyBorder="1" applyAlignment="1">
      <alignment horizontal="right"/>
    </xf>
    <xf numFmtId="0" fontId="6" fillId="18" borderId="1" xfId="0" applyFont="1" applyFill="1" applyBorder="1" applyAlignment="1"/>
    <xf numFmtId="0" fontId="6" fillId="18" borderId="1" xfId="0" applyFont="1" applyFill="1" applyBorder="1" applyAlignment="1">
      <alignment horizontal="right"/>
    </xf>
    <xf numFmtId="0" fontId="6" fillId="19" borderId="1" xfId="0" applyFont="1" applyFill="1" applyBorder="1" applyAlignment="1"/>
    <xf numFmtId="0" fontId="6" fillId="19" borderId="1" xfId="0" applyFont="1" applyFill="1" applyBorder="1" applyAlignment="1">
      <alignment horizontal="right"/>
    </xf>
    <xf numFmtId="0" fontId="6" fillId="20" borderId="1" xfId="0" applyFont="1" applyFill="1" applyBorder="1" applyAlignment="1"/>
    <xf numFmtId="0" fontId="6" fillId="20" borderId="1" xfId="0" applyFont="1" applyFill="1" applyBorder="1" applyAlignment="1">
      <alignment horizontal="right"/>
    </xf>
    <xf numFmtId="0" fontId="6" fillId="21" borderId="1" xfId="0" applyFont="1" applyFill="1" applyBorder="1" applyAlignment="1"/>
    <xf numFmtId="0" fontId="6" fillId="21" borderId="1" xfId="0" applyFont="1" applyFill="1" applyBorder="1" applyAlignment="1">
      <alignment horizontal="right"/>
    </xf>
    <xf numFmtId="0" fontId="7" fillId="12" borderId="0" xfId="0" applyFont="1" applyFill="1" applyAlignment="1"/>
    <xf numFmtId="0" fontId="8" fillId="12" borderId="0" xfId="0" applyFont="1" applyFill="1" applyAlignment="1"/>
    <xf numFmtId="0" fontId="7" fillId="13" borderId="0" xfId="0" applyFont="1" applyFill="1" applyAlignment="1"/>
    <xf numFmtId="0" fontId="8" fillId="13" borderId="0" xfId="0" applyFont="1" applyFill="1" applyAlignment="1"/>
    <xf numFmtId="0" fontId="7" fillId="14" borderId="0" xfId="0" applyFont="1" applyFill="1" applyAlignment="1"/>
    <xf numFmtId="0" fontId="8" fillId="14" borderId="0" xfId="0" applyFont="1" applyFill="1" applyAlignment="1"/>
    <xf numFmtId="0" fontId="7" fillId="15" borderId="0" xfId="0" applyFont="1" applyFill="1" applyAlignment="1"/>
    <xf numFmtId="0" fontId="8" fillId="15" borderId="0" xfId="0" applyFont="1" applyFill="1" applyAlignment="1"/>
    <xf numFmtId="0" fontId="7" fillId="16" borderId="0" xfId="0" applyFont="1" applyFill="1" applyAlignment="1"/>
    <xf numFmtId="0" fontId="8" fillId="16" borderId="0" xfId="0" applyFont="1" applyFill="1" applyAlignment="1"/>
    <xf numFmtId="0" fontId="7" fillId="17" borderId="0" xfId="0" applyFont="1" applyFill="1" applyAlignment="1"/>
    <xf numFmtId="0" fontId="8" fillId="17" borderId="0" xfId="0" applyFont="1" applyFill="1" applyAlignment="1"/>
    <xf numFmtId="0" fontId="7" fillId="18" borderId="0" xfId="0" applyFont="1" applyFill="1" applyAlignment="1"/>
    <xf numFmtId="0" fontId="8" fillId="18" borderId="0" xfId="0" applyFont="1" applyFill="1" applyAlignment="1"/>
    <xf numFmtId="0" fontId="7" fillId="7" borderId="0" xfId="0" applyFont="1" applyFill="1" applyAlignment="1"/>
    <xf numFmtId="0" fontId="8" fillId="7" borderId="0" xfId="0" applyFont="1" applyFill="1" applyAlignment="1"/>
    <xf numFmtId="0" fontId="7" fillId="19" borderId="0" xfId="0" applyFont="1" applyFill="1" applyAlignment="1"/>
    <xf numFmtId="0" fontId="8" fillId="19" borderId="0" xfId="0" applyFont="1" applyFill="1" applyAlignment="1"/>
    <xf numFmtId="0" fontId="7" fillId="20" borderId="0" xfId="0" applyFont="1" applyFill="1" applyAlignment="1"/>
    <xf numFmtId="0" fontId="8" fillId="20" borderId="0" xfId="0" applyFont="1" applyFill="1" applyAlignment="1"/>
    <xf numFmtId="0" fontId="7" fillId="21" borderId="0" xfId="0" applyFont="1" applyFill="1" applyAlignment="1"/>
    <xf numFmtId="0" fontId="8" fillId="21" borderId="0" xfId="0" applyFont="1" applyFill="1" applyAlignment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0" fontId="12" fillId="22" borderId="0" xfId="0" applyFont="1" applyFill="1" applyAlignment="1">
      <alignment vertical="center"/>
    </xf>
    <xf numFmtId="0" fontId="13" fillId="22" borderId="1" xfId="0" applyFont="1" applyFill="1" applyBorder="1" applyAlignment="1">
      <alignment horizontal="right"/>
    </xf>
    <xf numFmtId="0" fontId="9" fillId="22" borderId="0" xfId="0" applyFont="1" applyFill="1" applyAlignment="1">
      <alignment vertical="center"/>
    </xf>
    <xf numFmtId="0" fontId="10" fillId="22" borderId="0" xfId="0" applyFont="1" applyFill="1" applyAlignment="1">
      <alignment vertical="center"/>
    </xf>
    <xf numFmtId="14" fontId="0" fillId="0" borderId="0" xfId="0" applyNumberFormat="1" applyAlignment="1" applyProtection="1">
      <alignment vertical="center"/>
      <protection locked="0"/>
    </xf>
    <xf numFmtId="0" fontId="5" fillId="23" borderId="0" xfId="0" applyFont="1" applyFill="1" applyAlignment="1">
      <alignment horizontal="center" vertical="center" wrapText="1"/>
    </xf>
    <xf numFmtId="0" fontId="6" fillId="8" borderId="1" xfId="0" applyFont="1" applyFill="1" applyBorder="1" applyAlignment="1" applyProtection="1"/>
    <xf numFmtId="0" fontId="6" fillId="9" borderId="1" xfId="0" applyFont="1" applyFill="1" applyBorder="1" applyAlignment="1" applyProtection="1"/>
    <xf numFmtId="0" fontId="6" fillId="11" borderId="1" xfId="0" applyFont="1" applyFill="1" applyBorder="1" applyAlignment="1" applyProtection="1"/>
    <xf numFmtId="0" fontId="6" fillId="7" borderId="4" xfId="0" applyFont="1" applyFill="1" applyBorder="1" applyAlignment="1" applyProtection="1">
      <alignment horizontal="left"/>
    </xf>
    <xf numFmtId="0" fontId="6" fillId="7" borderId="5" xfId="0" applyFont="1" applyFill="1" applyBorder="1" applyAlignment="1" applyProtection="1">
      <alignment horizontal="left"/>
    </xf>
    <xf numFmtId="0" fontId="6" fillId="10" borderId="6" xfId="0" applyFont="1" applyFill="1" applyBorder="1" applyAlignment="1" applyProtection="1">
      <alignment horizontal="left"/>
    </xf>
    <xf numFmtId="0" fontId="6" fillId="10" borderId="5" xfId="0" applyFont="1" applyFill="1" applyBorder="1" applyAlignment="1" applyProtection="1">
      <alignment horizontal="left"/>
    </xf>
    <xf numFmtId="0" fontId="5" fillId="23" borderId="0" xfId="0" applyFont="1" applyFill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left"/>
    </xf>
    <xf numFmtId="0" fontId="6" fillId="3" borderId="5" xfId="0" applyFont="1" applyFill="1" applyBorder="1" applyAlignment="1" applyProtection="1">
      <alignment horizontal="left"/>
    </xf>
    <xf numFmtId="0" fontId="6" fillId="4" borderId="4" xfId="0" applyFont="1" applyFill="1" applyBorder="1" applyAlignment="1" applyProtection="1">
      <alignment horizontal="left"/>
    </xf>
    <xf numFmtId="0" fontId="6" fillId="4" borderId="5" xfId="0" applyFont="1" applyFill="1" applyBorder="1" applyAlignment="1" applyProtection="1">
      <alignment horizontal="left"/>
    </xf>
    <xf numFmtId="0" fontId="6" fillId="6" borderId="4" xfId="0" applyFont="1" applyFill="1" applyBorder="1" applyAlignment="1" applyProtection="1">
      <alignment horizontal="left"/>
    </xf>
    <xf numFmtId="0" fontId="6" fillId="6" borderId="5" xfId="0" applyFont="1" applyFill="1" applyBorder="1" applyAlignment="1" applyProtection="1">
      <alignment horizontal="left"/>
    </xf>
    <xf numFmtId="0" fontId="11" fillId="22" borderId="2" xfId="0" applyFont="1" applyFill="1" applyBorder="1" applyAlignment="1">
      <alignment horizontal="left"/>
    </xf>
    <xf numFmtId="0" fontId="11" fillId="22" borderId="3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topLeftCell="A4" zoomScale="115" zoomScaleNormal="115" workbookViewId="0">
      <selection activeCell="F8" sqref="F8:G8"/>
    </sheetView>
  </sheetViews>
  <sheetFormatPr defaultColWidth="10" defaultRowHeight="15" x14ac:dyDescent="0.25"/>
  <cols>
    <col min="1" max="1" width="29" customWidth="1"/>
    <col min="2" max="2" width="20.5703125" customWidth="1"/>
    <col min="3" max="3" width="20.42578125" customWidth="1"/>
    <col min="4" max="4" width="24.42578125" customWidth="1"/>
    <col min="5" max="5" width="13.85546875" customWidth="1"/>
    <col min="6" max="6" width="13" customWidth="1"/>
    <col min="7" max="7" width="14.42578125" customWidth="1"/>
    <col min="8" max="8" width="15" customWidth="1"/>
    <col min="9" max="9" width="14.85546875" customWidth="1"/>
    <col min="10" max="10" width="17" customWidth="1"/>
  </cols>
  <sheetData>
    <row r="1" spans="1:8" ht="18.75" customHeight="1" x14ac:dyDescent="0.25">
      <c r="A1" s="1" t="s">
        <v>0</v>
      </c>
      <c r="B1" s="81">
        <v>46179</v>
      </c>
      <c r="C1" s="2"/>
    </row>
    <row r="3" spans="1:8" ht="21" x14ac:dyDescent="0.35">
      <c r="A3" s="3" t="s">
        <v>1</v>
      </c>
    </row>
    <row r="5" spans="1:8" ht="17.25" x14ac:dyDescent="0.3">
      <c r="A5" s="4" t="s">
        <v>2</v>
      </c>
    </row>
    <row r="6" spans="1:8" ht="45" x14ac:dyDescent="0.25">
      <c r="A6" s="5" t="s">
        <v>3</v>
      </c>
      <c r="B6" s="5" t="s">
        <v>65</v>
      </c>
      <c r="C6" s="5" t="s">
        <v>4</v>
      </c>
      <c r="D6" s="5" t="s">
        <v>5</v>
      </c>
      <c r="F6" s="90" t="s">
        <v>63</v>
      </c>
      <c r="G6" s="90"/>
      <c r="H6" s="82" t="s">
        <v>64</v>
      </c>
    </row>
    <row r="7" spans="1:8" x14ac:dyDescent="0.25">
      <c r="A7" s="6" t="s">
        <v>6</v>
      </c>
      <c r="B7" s="7">
        <v>400</v>
      </c>
      <c r="C7" s="8">
        <f>'Daily Data Entry'!C5+'Daily Data Entry'!C17+'Daily Data Entry'!C29+'Daily Data Entry'!C41+'Daily Data Entry'!C53+'Daily Data Entry'!C65+'Daily Data Entry'!C77+'Daily Data Entry'!C89+'Daily Data Entry'!C101+'Daily Data Entry'!C113+'Daily Data Entry'!C125+'Daily Data Entry'!C137</f>
        <v>49</v>
      </c>
      <c r="D7" s="8">
        <f>B7-C7+D20+H7</f>
        <v>351</v>
      </c>
      <c r="F7" s="91" t="s">
        <v>6</v>
      </c>
      <c r="G7" s="92"/>
      <c r="H7" s="7">
        <v>0</v>
      </c>
    </row>
    <row r="8" spans="1:8" x14ac:dyDescent="0.25">
      <c r="A8" s="9" t="s">
        <v>7</v>
      </c>
      <c r="B8" s="10">
        <v>90</v>
      </c>
      <c r="C8" s="11">
        <f>'Daily Data Entry'!C6+'Daily Data Entry'!C18+'Daily Data Entry'!C30+'Daily Data Entry'!C42+'Daily Data Entry'!C54+'Daily Data Entry'!C66+'Daily Data Entry'!C78+'Daily Data Entry'!C90+'Daily Data Entry'!C102+'Daily Data Entry'!C114+'Daily Data Entry'!C126+'Daily Data Entry'!C138</f>
        <v>29</v>
      </c>
      <c r="D8" s="11">
        <f t="shared" ref="D8:D15" si="0">B8-C8+D21+H8</f>
        <v>61</v>
      </c>
      <c r="F8" s="93" t="s">
        <v>7</v>
      </c>
      <c r="G8" s="94"/>
      <c r="H8" s="10">
        <v>0</v>
      </c>
    </row>
    <row r="9" spans="1:8" x14ac:dyDescent="0.25">
      <c r="A9" s="12" t="s">
        <v>8</v>
      </c>
      <c r="B9" s="13">
        <v>0</v>
      </c>
      <c r="C9" s="14">
        <f>'Daily Data Entry'!C7+'Daily Data Entry'!C19+'Daily Data Entry'!C31+'Daily Data Entry'!C43+'Daily Data Entry'!C55+'Daily Data Entry'!C67+'Daily Data Entry'!C79+'Daily Data Entry'!C91+'Daily Data Entry'!C103+'Daily Data Entry'!C115+'Daily Data Entry'!C127+'Daily Data Entry'!C139</f>
        <v>0</v>
      </c>
      <c r="D9" s="14">
        <f t="shared" si="0"/>
        <v>0</v>
      </c>
      <c r="F9" s="93" t="s">
        <v>8</v>
      </c>
      <c r="G9" s="94"/>
      <c r="H9" s="13">
        <v>0</v>
      </c>
    </row>
    <row r="10" spans="1:8" x14ac:dyDescent="0.25">
      <c r="A10" s="15" t="s">
        <v>9</v>
      </c>
      <c r="B10" s="16">
        <v>6060</v>
      </c>
      <c r="C10" s="17">
        <f>'Daily Data Entry'!C8+'Daily Data Entry'!C20+'Daily Data Entry'!C32+'Daily Data Entry'!C44+'Daily Data Entry'!C56+'Daily Data Entry'!C68+'Daily Data Entry'!C80+'Daily Data Entry'!C92+'Daily Data Entry'!C104+'Daily Data Entry'!C116+'Daily Data Entry'!C128+'Daily Data Entry'!C140</f>
        <v>1200</v>
      </c>
      <c r="D10" s="17">
        <f t="shared" si="0"/>
        <v>5090</v>
      </c>
      <c r="F10" s="95" t="s">
        <v>9</v>
      </c>
      <c r="G10" s="96"/>
      <c r="H10" s="16">
        <v>0</v>
      </c>
    </row>
    <row r="11" spans="1:8" x14ac:dyDescent="0.25">
      <c r="A11" s="18" t="s">
        <v>10</v>
      </c>
      <c r="B11" s="19">
        <v>3170</v>
      </c>
      <c r="C11" s="20">
        <f>'Daily Data Entry'!C9+'Daily Data Entry'!C21+'Daily Data Entry'!C33+'Daily Data Entry'!C45+'Daily Data Entry'!C57+'Daily Data Entry'!C69+'Daily Data Entry'!C81+'Daily Data Entry'!C93+'Daily Data Entry'!C105+'Daily Data Entry'!C117+'Daily Data Entry'!C129+'Daily Data Entry'!C141</f>
        <v>150</v>
      </c>
      <c r="D11" s="20">
        <f t="shared" si="0"/>
        <v>3120</v>
      </c>
      <c r="F11" s="86" t="s">
        <v>10</v>
      </c>
      <c r="G11" s="87"/>
      <c r="H11" s="19">
        <v>0</v>
      </c>
    </row>
    <row r="12" spans="1:8" x14ac:dyDescent="0.25">
      <c r="A12" s="21" t="s">
        <v>11</v>
      </c>
      <c r="B12" s="22">
        <v>1170</v>
      </c>
      <c r="C12" s="23">
        <f>'Daily Data Entry'!C10+'Daily Data Entry'!C22+'Daily Data Entry'!C34+'Daily Data Entry'!C46+'Daily Data Entry'!C58+'Daily Data Entry'!C70+'Daily Data Entry'!C82+'Daily Data Entry'!C94+'Daily Data Entry'!C106+'Daily Data Entry'!C118+'Daily Data Entry'!C130+'Daily Data Entry'!C142</f>
        <v>0</v>
      </c>
      <c r="D12" s="23">
        <f t="shared" si="0"/>
        <v>1170</v>
      </c>
      <c r="F12" s="83" t="s">
        <v>11</v>
      </c>
      <c r="G12" s="83"/>
      <c r="H12" s="22">
        <v>0</v>
      </c>
    </row>
    <row r="13" spans="1:8" x14ac:dyDescent="0.25">
      <c r="A13" s="24" t="s">
        <v>12</v>
      </c>
      <c r="B13" s="25">
        <v>4080</v>
      </c>
      <c r="C13" s="26">
        <f>'Daily Data Entry'!C11+'Daily Data Entry'!C23+'Daily Data Entry'!C35+'Daily Data Entry'!C47+'Daily Data Entry'!C59+'Daily Data Entry'!C71+'Daily Data Entry'!C83+'Daily Data Entry'!C95+'Daily Data Entry'!C107+'Daily Data Entry'!C119+'Daily Data Entry'!C131+'Daily Data Entry'!C143</f>
        <v>550</v>
      </c>
      <c r="D13" s="26">
        <f t="shared" si="0"/>
        <v>3790</v>
      </c>
      <c r="F13" s="84" t="s">
        <v>12</v>
      </c>
      <c r="G13" s="84"/>
      <c r="H13" s="25">
        <v>0</v>
      </c>
    </row>
    <row r="14" spans="1:8" x14ac:dyDescent="0.25">
      <c r="A14" s="27" t="s">
        <v>13</v>
      </c>
      <c r="B14" s="28">
        <v>180</v>
      </c>
      <c r="C14" s="29">
        <f>'Daily Data Entry'!C12+'Daily Data Entry'!C24+'Daily Data Entry'!C36+'Daily Data Entry'!C48+'Daily Data Entry'!C60+'Daily Data Entry'!C72+'Daily Data Entry'!C84+'Daily Data Entry'!C96+'Daily Data Entry'!C108+'Daily Data Entry'!C120+'Daily Data Entry'!C132+'Daily Data Entry'!C144</f>
        <v>0</v>
      </c>
      <c r="D14" s="29">
        <f t="shared" si="0"/>
        <v>180</v>
      </c>
      <c r="F14" s="88" t="s">
        <v>13</v>
      </c>
      <c r="G14" s="89"/>
      <c r="H14" s="28">
        <v>0</v>
      </c>
    </row>
    <row r="15" spans="1:8" x14ac:dyDescent="0.25">
      <c r="A15" s="30" t="s">
        <v>14</v>
      </c>
      <c r="B15" s="31">
        <v>88</v>
      </c>
      <c r="C15" s="32">
        <f>'Daily Data Entry'!C13+'Daily Data Entry'!C25+'Daily Data Entry'!C37+'Daily Data Entry'!C49+'Daily Data Entry'!C61+'Daily Data Entry'!C73+'Daily Data Entry'!C85+'Daily Data Entry'!C97+'Daily Data Entry'!C109+'Daily Data Entry'!C121+'Daily Data Entry'!C133+'Daily Data Entry'!C145</f>
        <v>0</v>
      </c>
      <c r="D15" s="32">
        <f t="shared" si="0"/>
        <v>88</v>
      </c>
      <c r="F15" s="85" t="s">
        <v>14</v>
      </c>
      <c r="G15" s="85"/>
      <c r="H15" s="31">
        <v>0</v>
      </c>
    </row>
    <row r="18" spans="1:10" ht="17.25" x14ac:dyDescent="0.3">
      <c r="A18" s="4" t="s">
        <v>15</v>
      </c>
    </row>
    <row r="19" spans="1:10" ht="60" x14ac:dyDescent="0.25">
      <c r="A19" s="5" t="s">
        <v>3</v>
      </c>
      <c r="B19" s="5" t="s">
        <v>16</v>
      </c>
      <c r="C19" s="5" t="s">
        <v>17</v>
      </c>
      <c r="D19" s="5" t="s">
        <v>62</v>
      </c>
    </row>
    <row r="20" spans="1:10" x14ac:dyDescent="0.25">
      <c r="A20" s="6" t="s">
        <v>6</v>
      </c>
      <c r="B20" s="7">
        <f>'Daily Data Entry'!E5+'Daily Data Entry'!E17+'Daily Data Entry'!E29+'Daily Data Entry'!E41+'Daily Data Entry'!E53+'Daily Data Entry'!E65+'Daily Data Entry'!E77+'Daily Data Entry'!E89+'Daily Data Entry'!E101+'Daily Data Entry'!E113+'Daily Data Entry'!E125+'Daily Data Entry'!E137</f>
        <v>12</v>
      </c>
      <c r="C20" s="8">
        <f>'Daily Data Entry'!G5+'Daily Data Entry'!G17+'Daily Data Entry'!G29+'Daily Data Entry'!G41+'Daily Data Entry'!G53+'Daily Data Entry'!G65+'Daily Data Entry'!G77+'Daily Data Entry'!G89+'Daily Data Entry'!G101+'Daily Data Entry'!G113+'Daily Data Entry'!G125+'Daily Data Entry'!G137</f>
        <v>364</v>
      </c>
      <c r="D20" s="8">
        <f>'Daily Data Entry'!F5+'Daily Data Entry'!F17+'Daily Data Entry'!F29+'Daily Data Entry'!F41+'Daily Data Entry'!F53+'Daily Data Entry'!F65+'Daily Data Entry'!F77+'Daily Data Entry'!F89+'Daily Data Entry'!F101+'Daily Data Entry'!F113+'Daily Data Entry'!F125+'Daily Data Entry'!F137</f>
        <v>0</v>
      </c>
    </row>
    <row r="21" spans="1:10" x14ac:dyDescent="0.25">
      <c r="A21" s="9" t="s">
        <v>7</v>
      </c>
      <c r="B21" s="11">
        <f>'Daily Data Entry'!E6+'Daily Data Entry'!E18+'Daily Data Entry'!E30+'Daily Data Entry'!E42+'Daily Data Entry'!E54+'Daily Data Entry'!E66+'Daily Data Entry'!E78+'Daily Data Entry'!E90+'Daily Data Entry'!E102+'Daily Data Entry'!E114+'Daily Data Entry'!E126+'Daily Data Entry'!E138</f>
        <v>25</v>
      </c>
      <c r="C21" s="11">
        <f>'Daily Data Entry'!G6+'Daily Data Entry'!G18+'Daily Data Entry'!G30+'Daily Data Entry'!G42+'Daily Data Entry'!G54+'Daily Data Entry'!G66+'Daily Data Entry'!G78+'Daily Data Entry'!G90+'Daily Data Entry'!G102+'Daily Data Entry'!G114+'Daily Data Entry'!G126+'Daily Data Entry'!G138</f>
        <v>91</v>
      </c>
      <c r="D21" s="11">
        <f>'Daily Data Entry'!F6+'Daily Data Entry'!F18+'Daily Data Entry'!F30+'Daily Data Entry'!F42+'Daily Data Entry'!F54+'Daily Data Entry'!F66+'Daily Data Entry'!F78+'Daily Data Entry'!F90+'Daily Data Entry'!F102+'Daily Data Entry'!F114+'Daily Data Entry'!F126+'Daily Data Entry'!F138</f>
        <v>0</v>
      </c>
    </row>
    <row r="22" spans="1:10" x14ac:dyDescent="0.25">
      <c r="A22" s="12" t="s">
        <v>8</v>
      </c>
      <c r="B22" s="14">
        <f>'Daily Data Entry'!E7+'Daily Data Entry'!E19+'Daily Data Entry'!E31+'Daily Data Entry'!E43+'Daily Data Entry'!E55+'Daily Data Entry'!E67+'Daily Data Entry'!E79+'Daily Data Entry'!E91+'Daily Data Entry'!E103+'Daily Data Entry'!E115+'Daily Data Entry'!E127+'Daily Data Entry'!E139</f>
        <v>0</v>
      </c>
      <c r="C22" s="14">
        <f>'Daily Data Entry'!G7+'Daily Data Entry'!G19+'Daily Data Entry'!G31+'Daily Data Entry'!G43+'Daily Data Entry'!G55+'Daily Data Entry'!G67+'Daily Data Entry'!G79+'Daily Data Entry'!G91+'Daily Data Entry'!G103+'Daily Data Entry'!G115+'Daily Data Entry'!G127+'Daily Data Entry'!G139</f>
        <v>0</v>
      </c>
      <c r="D22" s="14">
        <f>'Daily Data Entry'!F7+'Daily Data Entry'!F19+'Daily Data Entry'!F31+'Daily Data Entry'!F43+'Daily Data Entry'!F55+'Daily Data Entry'!F67+'Daily Data Entry'!F79+'Daily Data Entry'!F91+'Daily Data Entry'!F103+'Daily Data Entry'!F115+'Daily Data Entry'!F127+'Daily Data Entry'!F139</f>
        <v>0</v>
      </c>
    </row>
    <row r="23" spans="1:10" x14ac:dyDescent="0.25">
      <c r="A23" s="15" t="s">
        <v>9</v>
      </c>
      <c r="B23" s="17">
        <f>'Daily Data Entry'!E8+'Daily Data Entry'!E20+'Daily Data Entry'!E32+'Daily Data Entry'!E44+'Daily Data Entry'!E56+'Daily Data Entry'!E68+'Daily Data Entry'!E80+'Daily Data Entry'!E92+'Daily Data Entry'!E104+'Daily Data Entry'!E116+'Daily Data Entry'!E128+'Daily Data Entry'!E140</f>
        <v>870</v>
      </c>
      <c r="C23" s="17">
        <f>'Daily Data Entry'!G8+'Daily Data Entry'!G20+'Daily Data Entry'!G32+'Daily Data Entry'!G44+'Daily Data Entry'!G56+'Daily Data Entry'!G68+'Daily Data Entry'!G80+'Daily Data Entry'!G92+'Daily Data Entry'!G104+'Daily Data Entry'!G116+'Daily Data Entry'!G128+'Daily Data Entry'!G140</f>
        <v>3970</v>
      </c>
      <c r="D23" s="17">
        <f>'Daily Data Entry'!F8+'Daily Data Entry'!F20+'Daily Data Entry'!F32+'Daily Data Entry'!F44+'Daily Data Entry'!F56+'Daily Data Entry'!F68+'Daily Data Entry'!F80+'Daily Data Entry'!F92+'Daily Data Entry'!F104+'Daily Data Entry'!F116+'Daily Data Entry'!F128+'Daily Data Entry'!F140</f>
        <v>230</v>
      </c>
    </row>
    <row r="24" spans="1:10" x14ac:dyDescent="0.25">
      <c r="A24" s="18" t="s">
        <v>10</v>
      </c>
      <c r="B24" s="20">
        <f>'Daily Data Entry'!E9+'Daily Data Entry'!E21+'Daily Data Entry'!E33+'Daily Data Entry'!E45+'Daily Data Entry'!E57+'Daily Data Entry'!E69+'Daily Data Entry'!E81+'Daily Data Entry'!E93+'Daily Data Entry'!E105+'Daily Data Entry'!E117+'Daily Data Entry'!E129+'Daily Data Entry'!E141</f>
        <v>220</v>
      </c>
      <c r="C24" s="20">
        <f>'Daily Data Entry'!G9+'Daily Data Entry'!G21+'Daily Data Entry'!G33+'Daily Data Entry'!G45+'Daily Data Entry'!G57+'Daily Data Entry'!G69+'Daily Data Entry'!G81+'Daily Data Entry'!G93+'Daily Data Entry'!G105+'Daily Data Entry'!G117+'Daily Data Entry'!G129+'Daily Data Entry'!G141</f>
        <v>1580</v>
      </c>
      <c r="D24" s="20">
        <f>'Daily Data Entry'!F9+'Daily Data Entry'!F21+'Daily Data Entry'!F33+'Daily Data Entry'!F45+'Daily Data Entry'!F57+'Daily Data Entry'!F69+'Daily Data Entry'!F81+'Daily Data Entry'!F93+'Daily Data Entry'!F105+'Daily Data Entry'!F117+'Daily Data Entry'!F129+'Daily Data Entry'!F141</f>
        <v>100</v>
      </c>
    </row>
    <row r="25" spans="1:10" x14ac:dyDescent="0.25">
      <c r="A25" s="21" t="s">
        <v>11</v>
      </c>
      <c r="B25" s="23">
        <f>'Daily Data Entry'!E10+'Daily Data Entry'!E22+'Daily Data Entry'!E34+'Daily Data Entry'!E46+'Daily Data Entry'!E58+'Daily Data Entry'!E70+'Daily Data Entry'!E82+'Daily Data Entry'!E94+'Daily Data Entry'!E106+'Daily Data Entry'!E118+'Daily Data Entry'!E130+'Daily Data Entry'!E142</f>
        <v>0</v>
      </c>
      <c r="C25" s="23">
        <f>'Daily Data Entry'!G10+'Daily Data Entry'!G22+'Daily Data Entry'!G34+'Daily Data Entry'!G46+'Daily Data Entry'!G58+'Daily Data Entry'!G70+'Daily Data Entry'!G82+'Daily Data Entry'!G94+'Daily Data Entry'!G106+'Daily Data Entry'!G118+'Daily Data Entry'!G130+'Daily Data Entry'!G142</f>
        <v>240</v>
      </c>
      <c r="D25" s="23">
        <f>'Daily Data Entry'!F10+'Daily Data Entry'!F22+'Daily Data Entry'!F34+'Daily Data Entry'!F46+'Daily Data Entry'!F58+'Daily Data Entry'!F70+'Daily Data Entry'!F82+'Daily Data Entry'!F94+'Daily Data Entry'!F106+'Daily Data Entry'!F118+'Daily Data Entry'!F130+'Daily Data Entry'!F142</f>
        <v>0</v>
      </c>
    </row>
    <row r="26" spans="1:10" x14ac:dyDescent="0.25">
      <c r="A26" s="24" t="s">
        <v>12</v>
      </c>
      <c r="B26" s="26">
        <f>'Daily Data Entry'!E11+'Daily Data Entry'!E23+'Daily Data Entry'!E35+'Daily Data Entry'!E47+'Daily Data Entry'!E59+'Daily Data Entry'!E71+'Daily Data Entry'!E83+'Daily Data Entry'!E95+'Daily Data Entry'!E107+'Daily Data Entry'!E119+'Daily Data Entry'!E131+'Daily Data Entry'!E143</f>
        <v>130</v>
      </c>
      <c r="C26" s="26">
        <f>'Daily Data Entry'!G11+'Daily Data Entry'!G23+'Daily Data Entry'!G35+'Daily Data Entry'!G47+'Daily Data Entry'!G59+'Daily Data Entry'!G71+'Daily Data Entry'!G83+'Daily Data Entry'!G95+'Daily Data Entry'!G107+'Daily Data Entry'!G119+'Daily Data Entry'!G131+'Daily Data Entry'!G143</f>
        <v>1540</v>
      </c>
      <c r="D26" s="26">
        <f>'Daily Data Entry'!F11+'Daily Data Entry'!F23+'Daily Data Entry'!F35+'Daily Data Entry'!F47+'Daily Data Entry'!F59+'Daily Data Entry'!F71+'Daily Data Entry'!F83+'Daily Data Entry'!F95+'Daily Data Entry'!F107+'Daily Data Entry'!F119+'Daily Data Entry'!F131+'Daily Data Entry'!F143</f>
        <v>260</v>
      </c>
    </row>
    <row r="27" spans="1:10" x14ac:dyDescent="0.25">
      <c r="A27" s="27" t="s">
        <v>13</v>
      </c>
      <c r="B27" s="29">
        <f>'Daily Data Entry'!E12+'Daily Data Entry'!E24+'Daily Data Entry'!E36+'Daily Data Entry'!E48+'Daily Data Entry'!E60+'Daily Data Entry'!E72+'Daily Data Entry'!E84+'Daily Data Entry'!E96+'Daily Data Entry'!E108+'Daily Data Entry'!E120+'Daily Data Entry'!E132+'Daily Data Entry'!E144</f>
        <v>0</v>
      </c>
      <c r="C27" s="29">
        <f>'Daily Data Entry'!G12+'Daily Data Entry'!G24+'Daily Data Entry'!G36+'Daily Data Entry'!G48+'Daily Data Entry'!G60+'Daily Data Entry'!G72+'Daily Data Entry'!G84+'Daily Data Entry'!G96+'Daily Data Entry'!G108+'Daily Data Entry'!G120+'Daily Data Entry'!G132+'Daily Data Entry'!G144</f>
        <v>0</v>
      </c>
      <c r="D27" s="29">
        <f>'Daily Data Entry'!F12+'Daily Data Entry'!F24+'Daily Data Entry'!F36+'Daily Data Entry'!F48+'Daily Data Entry'!F60+'Daily Data Entry'!F72+'Daily Data Entry'!F84+'Daily Data Entry'!F96+'Daily Data Entry'!F108+'Daily Data Entry'!F120+'Daily Data Entry'!F132+'Daily Data Entry'!F144</f>
        <v>0</v>
      </c>
    </row>
    <row r="28" spans="1:10" x14ac:dyDescent="0.25">
      <c r="A28" s="30" t="s">
        <v>14</v>
      </c>
      <c r="B28" s="32">
        <f>'Daily Data Entry'!E13+'Daily Data Entry'!E25+'Daily Data Entry'!E37+'Daily Data Entry'!E49+'Daily Data Entry'!E61+'Daily Data Entry'!E73+'Daily Data Entry'!E85+'Daily Data Entry'!E97+'Daily Data Entry'!E109+'Daily Data Entry'!E121+'Daily Data Entry'!E133+'Daily Data Entry'!E145</f>
        <v>0</v>
      </c>
      <c r="C28" s="32">
        <f>'Daily Data Entry'!G13+'Daily Data Entry'!G25+'Daily Data Entry'!G37+'Daily Data Entry'!G49+'Daily Data Entry'!G61+'Daily Data Entry'!G73+'Daily Data Entry'!G85+'Daily Data Entry'!G97+'Daily Data Entry'!G109+'Daily Data Entry'!G121+'Daily Data Entry'!G133+'Daily Data Entry'!G145</f>
        <v>0</v>
      </c>
      <c r="D28" s="32">
        <f>'Daily Data Entry'!F13+'Daily Data Entry'!F25+'Daily Data Entry'!F37+'Daily Data Entry'!F49+'Daily Data Entry'!F61+'Daily Data Entry'!F73+'Daily Data Entry'!F85+'Daily Data Entry'!F97+'Daily Data Entry'!F109+'Daily Data Entry'!F121+'Daily Data Entry'!F133+'Daily Data Entry'!F145</f>
        <v>0</v>
      </c>
    </row>
    <row r="31" spans="1:10" ht="17.25" x14ac:dyDescent="0.3">
      <c r="A31" s="4" t="s">
        <v>18</v>
      </c>
    </row>
    <row r="32" spans="1:10" x14ac:dyDescent="0.25">
      <c r="A32" s="75" t="s">
        <v>19</v>
      </c>
      <c r="B32" s="5" t="s">
        <v>6</v>
      </c>
      <c r="C32" s="5" t="s">
        <v>7</v>
      </c>
      <c r="D32" s="5" t="s">
        <v>8</v>
      </c>
      <c r="E32" s="5" t="s">
        <v>9</v>
      </c>
      <c r="F32" s="5" t="s">
        <v>10</v>
      </c>
      <c r="G32" s="5" t="s">
        <v>11</v>
      </c>
      <c r="H32" s="5" t="s">
        <v>12</v>
      </c>
      <c r="I32" s="5" t="s">
        <v>13</v>
      </c>
      <c r="J32" s="5" t="s">
        <v>14</v>
      </c>
    </row>
    <row r="33" spans="1:10" x14ac:dyDescent="0.25">
      <c r="A33" s="33" t="s">
        <v>20</v>
      </c>
      <c r="B33" s="34">
        <f>'Daily Data Entry'!G5</f>
        <v>47</v>
      </c>
      <c r="C33" s="34">
        <f>'Daily Data Entry'!G6</f>
        <v>19</v>
      </c>
      <c r="D33" s="34">
        <f>'Daily Data Entry'!G7</f>
        <v>0</v>
      </c>
      <c r="E33" s="34">
        <f>'Daily Data Entry'!G8</f>
        <v>350</v>
      </c>
      <c r="F33" s="34">
        <f>'Daily Data Entry'!G9</f>
        <v>450</v>
      </c>
      <c r="G33" s="34">
        <f>'Daily Data Entry'!G10</f>
        <v>50</v>
      </c>
      <c r="H33" s="34">
        <f>'Daily Data Entry'!G11</f>
        <v>340</v>
      </c>
      <c r="I33" s="34">
        <f>'Daily Data Entry'!G12</f>
        <v>0</v>
      </c>
      <c r="J33" s="34">
        <f>'Daily Data Entry'!G13</f>
        <v>0</v>
      </c>
    </row>
    <row r="34" spans="1:10" x14ac:dyDescent="0.25">
      <c r="A34" s="35" t="s">
        <v>21</v>
      </c>
      <c r="B34" s="36">
        <f>'Daily Data Entry'!G17</f>
        <v>12</v>
      </c>
      <c r="C34" s="36">
        <f>'Daily Data Entry'!G18</f>
        <v>10</v>
      </c>
      <c r="D34" s="36">
        <f>'Daily Data Entry'!G19</f>
        <v>0</v>
      </c>
      <c r="E34" s="36">
        <f>'Daily Data Entry'!G20</f>
        <v>0</v>
      </c>
      <c r="F34" s="36">
        <f>'Daily Data Entry'!G21</f>
        <v>0</v>
      </c>
      <c r="G34" s="36">
        <f>'Daily Data Entry'!G22</f>
        <v>0</v>
      </c>
      <c r="H34" s="36">
        <f>'Daily Data Entry'!G23</f>
        <v>0</v>
      </c>
      <c r="I34" s="36">
        <f>'Daily Data Entry'!G24</f>
        <v>0</v>
      </c>
      <c r="J34" s="36">
        <f>'Daily Data Entry'!G25</f>
        <v>0</v>
      </c>
    </row>
    <row r="35" spans="1:10" x14ac:dyDescent="0.25">
      <c r="A35" s="37" t="s">
        <v>22</v>
      </c>
      <c r="B35" s="38">
        <f>'Daily Data Entry'!G29</f>
        <v>24</v>
      </c>
      <c r="C35" s="38">
        <f>'Daily Data Entry'!G30</f>
        <v>5</v>
      </c>
      <c r="D35" s="38">
        <f>'Daily Data Entry'!G31</f>
        <v>0</v>
      </c>
      <c r="E35" s="38">
        <f>'Daily Data Entry'!G32</f>
        <v>2340</v>
      </c>
      <c r="F35" s="38">
        <f>'Daily Data Entry'!G33</f>
        <v>250</v>
      </c>
      <c r="G35" s="38">
        <f>'Daily Data Entry'!G34</f>
        <v>0</v>
      </c>
      <c r="H35" s="38">
        <f>'Daily Data Entry'!G35</f>
        <v>140</v>
      </c>
      <c r="I35" s="38">
        <f>'Daily Data Entry'!G36</f>
        <v>0</v>
      </c>
      <c r="J35" s="38">
        <f>'Daily Data Entry'!G37</f>
        <v>0</v>
      </c>
    </row>
    <row r="36" spans="1:10" x14ac:dyDescent="0.25">
      <c r="A36" s="39" t="s">
        <v>23</v>
      </c>
      <c r="B36" s="40">
        <f>'Daily Data Entry'!G41</f>
        <v>15</v>
      </c>
      <c r="C36" s="40">
        <f>'Daily Data Entry'!G42</f>
        <v>10</v>
      </c>
      <c r="D36" s="40">
        <f>'Daily Data Entry'!G43</f>
        <v>0</v>
      </c>
      <c r="E36" s="40">
        <f>'Daily Data Entry'!G44</f>
        <v>0</v>
      </c>
      <c r="F36" s="40">
        <f>'Daily Data Entry'!G45</f>
        <v>0</v>
      </c>
      <c r="G36" s="40">
        <f>'Daily Data Entry'!G46</f>
        <v>0</v>
      </c>
      <c r="H36" s="40">
        <f>'Daily Data Entry'!G47</f>
        <v>0</v>
      </c>
      <c r="I36" s="40">
        <f>'Daily Data Entry'!G48</f>
        <v>0</v>
      </c>
      <c r="J36" s="40">
        <f>'Daily Data Entry'!G49</f>
        <v>0</v>
      </c>
    </row>
    <row r="37" spans="1:10" x14ac:dyDescent="0.25">
      <c r="A37" s="41" t="s">
        <v>24</v>
      </c>
      <c r="B37" s="42">
        <f>'Daily Data Entry'!G53</f>
        <v>6</v>
      </c>
      <c r="C37" s="42">
        <f>'Daily Data Entry'!G54</f>
        <v>5</v>
      </c>
      <c r="D37" s="42">
        <f>'Daily Data Entry'!G55</f>
        <v>0</v>
      </c>
      <c r="E37" s="42">
        <f>'Daily Data Entry'!G56</f>
        <v>100</v>
      </c>
      <c r="F37" s="42">
        <f>'Daily Data Entry'!G57</f>
        <v>0</v>
      </c>
      <c r="G37" s="42">
        <f>'Daily Data Entry'!G58</f>
        <v>0</v>
      </c>
      <c r="H37" s="42">
        <f>'Daily Data Entry'!G59</f>
        <v>0</v>
      </c>
      <c r="I37" s="42">
        <f>'Daily Data Entry'!G60</f>
        <v>0</v>
      </c>
      <c r="J37" s="42">
        <f>'Daily Data Entry'!G61</f>
        <v>0</v>
      </c>
    </row>
    <row r="38" spans="1:10" x14ac:dyDescent="0.25">
      <c r="A38" s="43" t="s">
        <v>25</v>
      </c>
      <c r="B38" s="44">
        <f>'Daily Data Entry'!G65</f>
        <v>42</v>
      </c>
      <c r="C38" s="44">
        <f>'Daily Data Entry'!G66</f>
        <v>0</v>
      </c>
      <c r="D38" s="44">
        <f>'Daily Data Entry'!G67</f>
        <v>0</v>
      </c>
      <c r="E38" s="44">
        <f>'Daily Data Entry'!G68</f>
        <v>900</v>
      </c>
      <c r="F38" s="44">
        <f>'Daily Data Entry'!G69</f>
        <v>650</v>
      </c>
      <c r="G38" s="44">
        <f>'Daily Data Entry'!G70</f>
        <v>100</v>
      </c>
      <c r="H38" s="44">
        <f>'Daily Data Entry'!G71</f>
        <v>650</v>
      </c>
      <c r="I38" s="44">
        <f>'Daily Data Entry'!G72</f>
        <v>0</v>
      </c>
      <c r="J38" s="44">
        <f>'Daily Data Entry'!G73</f>
        <v>0</v>
      </c>
    </row>
    <row r="39" spans="1:10" x14ac:dyDescent="0.25">
      <c r="A39" s="45" t="s">
        <v>26</v>
      </c>
      <c r="B39" s="46">
        <f>'Daily Data Entry'!G77</f>
        <v>34</v>
      </c>
      <c r="C39" s="46">
        <f>'Daily Data Entry'!G78</f>
        <v>0</v>
      </c>
      <c r="D39" s="46">
        <f>'Daily Data Entry'!G79</f>
        <v>0</v>
      </c>
      <c r="E39" s="46">
        <f>'Daily Data Entry'!G80</f>
        <v>0</v>
      </c>
      <c r="F39" s="46">
        <f>'Daily Data Entry'!G81</f>
        <v>0</v>
      </c>
      <c r="G39" s="46">
        <f>'Daily Data Entry'!G82</f>
        <v>0</v>
      </c>
      <c r="H39" s="46">
        <f>'Daily Data Entry'!G83</f>
        <v>0</v>
      </c>
      <c r="I39" s="46">
        <f>'Daily Data Entry'!G84</f>
        <v>0</v>
      </c>
      <c r="J39" s="46">
        <f>'Daily Data Entry'!G85</f>
        <v>0</v>
      </c>
    </row>
    <row r="40" spans="1:10" x14ac:dyDescent="0.25">
      <c r="A40" s="33" t="s">
        <v>27</v>
      </c>
      <c r="B40" s="34">
        <f>'Daily Data Entry'!G89</f>
        <v>55</v>
      </c>
      <c r="C40" s="34">
        <f>'Daily Data Entry'!G90</f>
        <v>10</v>
      </c>
      <c r="D40" s="34">
        <f>'Daily Data Entry'!G91</f>
        <v>0</v>
      </c>
      <c r="E40" s="34">
        <f>'Daily Data Entry'!G92</f>
        <v>0</v>
      </c>
      <c r="F40" s="34">
        <f>'Daily Data Entry'!G93</f>
        <v>0</v>
      </c>
      <c r="G40" s="34">
        <f>'Daily Data Entry'!G94</f>
        <v>0</v>
      </c>
      <c r="H40" s="34">
        <f>'Daily Data Entry'!G95</f>
        <v>0</v>
      </c>
      <c r="I40" s="34">
        <f>'Daily Data Entry'!G96</f>
        <v>0</v>
      </c>
      <c r="J40" s="34">
        <f>'Daily Data Entry'!G97</f>
        <v>0</v>
      </c>
    </row>
    <row r="41" spans="1:10" x14ac:dyDescent="0.25">
      <c r="A41" s="18" t="s">
        <v>28</v>
      </c>
      <c r="B41" s="20">
        <f>'Daily Data Entry'!G101</f>
        <v>10</v>
      </c>
      <c r="C41" s="20">
        <f>'Daily Data Entry'!G102</f>
        <v>2</v>
      </c>
      <c r="D41" s="20">
        <f>'Daily Data Entry'!G103</f>
        <v>0</v>
      </c>
      <c r="E41" s="20">
        <f>'Daily Data Entry'!G104</f>
        <v>0</v>
      </c>
      <c r="F41" s="20">
        <f>'Daily Data Entry'!G105</f>
        <v>0</v>
      </c>
      <c r="G41" s="20">
        <f>'Daily Data Entry'!G106</f>
        <v>0</v>
      </c>
      <c r="H41" s="20">
        <f>'Daily Data Entry'!G107</f>
        <v>0</v>
      </c>
      <c r="I41" s="20">
        <f>'Daily Data Entry'!G108</f>
        <v>0</v>
      </c>
      <c r="J41" s="20">
        <f>'Daily Data Entry'!G109</f>
        <v>0</v>
      </c>
    </row>
    <row r="42" spans="1:10" x14ac:dyDescent="0.25">
      <c r="A42" s="47" t="s">
        <v>29</v>
      </c>
      <c r="B42" s="48">
        <f>'Daily Data Entry'!G113</f>
        <v>22</v>
      </c>
      <c r="C42" s="48">
        <f>'Daily Data Entry'!G114</f>
        <v>25</v>
      </c>
      <c r="D42" s="48">
        <f>'Daily Data Entry'!G115</f>
        <v>0</v>
      </c>
      <c r="E42" s="48">
        <f>'Daily Data Entry'!G116</f>
        <v>280</v>
      </c>
      <c r="F42" s="48">
        <f>'Daily Data Entry'!G117</f>
        <v>230</v>
      </c>
      <c r="G42" s="48">
        <f>'Daily Data Entry'!G118</f>
        <v>90</v>
      </c>
      <c r="H42" s="48">
        <f>'Daily Data Entry'!G119</f>
        <v>410</v>
      </c>
      <c r="I42" s="48">
        <f>'Daily Data Entry'!G120</f>
        <v>0</v>
      </c>
      <c r="J42" s="48">
        <f>'Daily Data Entry'!G121</f>
        <v>0</v>
      </c>
    </row>
    <row r="43" spans="1:10" x14ac:dyDescent="0.25">
      <c r="A43" s="49" t="s">
        <v>30</v>
      </c>
      <c r="B43" s="50">
        <f>'Daily Data Entry'!G125</f>
        <v>22</v>
      </c>
      <c r="C43" s="50">
        <f>'Daily Data Entry'!G126</f>
        <v>0</v>
      </c>
      <c r="D43" s="50">
        <f>'Daily Data Entry'!G127</f>
        <v>0</v>
      </c>
      <c r="E43" s="50">
        <f>'Daily Data Entry'!G128</f>
        <v>0</v>
      </c>
      <c r="F43" s="50">
        <f>'Daily Data Entry'!G129</f>
        <v>0</v>
      </c>
      <c r="G43" s="50">
        <f>'Daily Data Entry'!G130</f>
        <v>0</v>
      </c>
      <c r="H43" s="50">
        <f>'Daily Data Entry'!G131</f>
        <v>0</v>
      </c>
      <c r="I43" s="50">
        <f>'Daily Data Entry'!G132</f>
        <v>0</v>
      </c>
      <c r="J43" s="50">
        <f>'Daily Data Entry'!G133</f>
        <v>0</v>
      </c>
    </row>
    <row r="44" spans="1:10" x14ac:dyDescent="0.25">
      <c r="A44" s="51" t="s">
        <v>31</v>
      </c>
      <c r="B44" s="52">
        <f>'Daily Data Entry'!G137</f>
        <v>75</v>
      </c>
      <c r="C44" s="52">
        <f>'Daily Data Entry'!G138</f>
        <v>5</v>
      </c>
      <c r="D44" s="52">
        <f>'Daily Data Entry'!G139</f>
        <v>0</v>
      </c>
      <c r="E44" s="52">
        <f>'Daily Data Entry'!G140</f>
        <v>0</v>
      </c>
      <c r="F44" s="52">
        <f>'Daily Data Entry'!G141</f>
        <v>0</v>
      </c>
      <c r="G44" s="52">
        <f>'Daily Data Entry'!G142</f>
        <v>0</v>
      </c>
      <c r="H44" s="52">
        <f>'Daily Data Entry'!G143</f>
        <v>0</v>
      </c>
      <c r="I44" s="52">
        <f>'Daily Data Entry'!G144</f>
        <v>0</v>
      </c>
      <c r="J44" s="52">
        <f>'Daily Data Entry'!G145</f>
        <v>0</v>
      </c>
    </row>
    <row r="45" spans="1:10" ht="21.75" customHeight="1" x14ac:dyDescent="0.25">
      <c r="A45" s="79" t="s">
        <v>48</v>
      </c>
      <c r="B45" s="80">
        <f>SUM(B33:B44)</f>
        <v>364</v>
      </c>
      <c r="C45" s="80">
        <f t="shared" ref="C45:J45" si="1">SUM(C33:C44)</f>
        <v>91</v>
      </c>
      <c r="D45" s="80">
        <f t="shared" si="1"/>
        <v>0</v>
      </c>
      <c r="E45" s="80">
        <f t="shared" si="1"/>
        <v>3970</v>
      </c>
      <c r="F45" s="80">
        <f t="shared" si="1"/>
        <v>1580</v>
      </c>
      <c r="G45" s="80">
        <f t="shared" si="1"/>
        <v>240</v>
      </c>
      <c r="H45" s="80">
        <f t="shared" si="1"/>
        <v>1540</v>
      </c>
      <c r="I45" s="80">
        <f t="shared" si="1"/>
        <v>0</v>
      </c>
      <c r="J45" s="80">
        <f t="shared" si="1"/>
        <v>0</v>
      </c>
    </row>
  </sheetData>
  <sheetProtection algorithmName="SHA-512" hashValue="p+96BV10Cvinn8dV3EUcXXw3a1sKBVdmhdi2uzhiYnnPwmm+9abTcEYlRG7HJPZW9O4+iIJPG0681dYFsbEEZA==" saltValue="NA+6XQtUG3tgyP+Sx8apow==" spinCount="100000" sheet="1" formatCells="0" formatColumns="0" formatRows="0" insertRows="0" deleteRows="0"/>
  <mergeCells count="7">
    <mergeCell ref="F11:G11"/>
    <mergeCell ref="F14:G14"/>
    <mergeCell ref="F6:G6"/>
    <mergeCell ref="F7:G7"/>
    <mergeCell ref="F8:G8"/>
    <mergeCell ref="F9:G9"/>
    <mergeCell ref="F10:G10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5"/>
  <sheetViews>
    <sheetView topLeftCell="A115" zoomScale="150" zoomScaleNormal="150" workbookViewId="0">
      <selection activeCell="F118" sqref="F118"/>
    </sheetView>
  </sheetViews>
  <sheetFormatPr defaultColWidth="10" defaultRowHeight="15" x14ac:dyDescent="0.25"/>
  <cols>
    <col min="1" max="1" width="25" customWidth="1"/>
    <col min="2" max="7" width="16" customWidth="1"/>
  </cols>
  <sheetData>
    <row r="1" spans="1:7" ht="21" x14ac:dyDescent="0.35">
      <c r="A1" s="3" t="s">
        <v>32</v>
      </c>
    </row>
    <row r="3" spans="1:7" ht="15.75" x14ac:dyDescent="0.25">
      <c r="A3" s="53" t="s">
        <v>59</v>
      </c>
      <c r="B3" s="54"/>
      <c r="C3" s="54"/>
      <c r="D3" s="54"/>
      <c r="E3" s="54"/>
      <c r="F3" s="54"/>
      <c r="G3" s="54"/>
    </row>
    <row r="4" spans="1:7" ht="30" x14ac:dyDescent="0.25">
      <c r="A4" s="5" t="s">
        <v>3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</row>
    <row r="5" spans="1:7" x14ac:dyDescent="0.25">
      <c r="A5" s="6" t="s">
        <v>6</v>
      </c>
      <c r="B5" s="7">
        <v>37</v>
      </c>
      <c r="C5" s="7">
        <v>10</v>
      </c>
      <c r="D5" s="8">
        <f t="shared" ref="D5:D13" si="0">B5+C5</f>
        <v>47</v>
      </c>
      <c r="E5" s="7">
        <v>0</v>
      </c>
      <c r="F5" s="7">
        <v>0</v>
      </c>
      <c r="G5" s="8">
        <f t="shared" ref="G5:G13" si="1">D5-E5-F5</f>
        <v>47</v>
      </c>
    </row>
    <row r="6" spans="1:7" x14ac:dyDescent="0.25">
      <c r="A6" s="9" t="s">
        <v>7</v>
      </c>
      <c r="B6" s="10">
        <v>15</v>
      </c>
      <c r="C6" s="10">
        <v>4</v>
      </c>
      <c r="D6" s="11">
        <f t="shared" si="0"/>
        <v>19</v>
      </c>
      <c r="E6" s="10">
        <v>0</v>
      </c>
      <c r="F6" s="10">
        <v>0</v>
      </c>
      <c r="G6" s="11">
        <f t="shared" si="1"/>
        <v>19</v>
      </c>
    </row>
    <row r="7" spans="1:7" x14ac:dyDescent="0.25">
      <c r="A7" s="12" t="s">
        <v>8</v>
      </c>
      <c r="B7" s="13">
        <v>0</v>
      </c>
      <c r="C7" s="13">
        <v>0</v>
      </c>
      <c r="D7" s="14">
        <f t="shared" si="0"/>
        <v>0</v>
      </c>
      <c r="E7" s="13">
        <v>0</v>
      </c>
      <c r="F7" s="13">
        <v>0</v>
      </c>
      <c r="G7" s="14">
        <f t="shared" si="1"/>
        <v>0</v>
      </c>
    </row>
    <row r="8" spans="1:7" x14ac:dyDescent="0.25">
      <c r="A8" s="15" t="s">
        <v>9</v>
      </c>
      <c r="B8" s="16">
        <v>50</v>
      </c>
      <c r="C8" s="16">
        <v>500</v>
      </c>
      <c r="D8" s="17">
        <f t="shared" si="0"/>
        <v>550</v>
      </c>
      <c r="E8" s="16">
        <v>200</v>
      </c>
      <c r="F8" s="16">
        <v>0</v>
      </c>
      <c r="G8" s="17">
        <f t="shared" si="1"/>
        <v>350</v>
      </c>
    </row>
    <row r="9" spans="1:7" x14ac:dyDescent="0.25">
      <c r="A9" s="18" t="s">
        <v>10</v>
      </c>
      <c r="B9" s="19">
        <v>450</v>
      </c>
      <c r="C9" s="19">
        <v>0</v>
      </c>
      <c r="D9" s="20">
        <f t="shared" si="0"/>
        <v>450</v>
      </c>
      <c r="E9" s="19">
        <v>0</v>
      </c>
      <c r="F9" s="19">
        <v>0</v>
      </c>
      <c r="G9" s="20">
        <f t="shared" si="1"/>
        <v>450</v>
      </c>
    </row>
    <row r="10" spans="1:7" x14ac:dyDescent="0.25">
      <c r="A10" s="21" t="s">
        <v>11</v>
      </c>
      <c r="B10" s="22">
        <v>50</v>
      </c>
      <c r="C10" s="22">
        <v>0</v>
      </c>
      <c r="D10" s="23">
        <f t="shared" si="0"/>
        <v>50</v>
      </c>
      <c r="E10" s="22">
        <v>0</v>
      </c>
      <c r="F10" s="22">
        <v>0</v>
      </c>
      <c r="G10" s="23">
        <f t="shared" si="1"/>
        <v>50</v>
      </c>
    </row>
    <row r="11" spans="1:7" x14ac:dyDescent="0.25">
      <c r="A11" s="24" t="s">
        <v>12</v>
      </c>
      <c r="B11" s="25">
        <v>140</v>
      </c>
      <c r="C11" s="25">
        <v>200</v>
      </c>
      <c r="D11" s="26">
        <f t="shared" si="0"/>
        <v>340</v>
      </c>
      <c r="E11" s="25">
        <v>0</v>
      </c>
      <c r="F11" s="25">
        <v>0</v>
      </c>
      <c r="G11" s="26">
        <f t="shared" si="1"/>
        <v>340</v>
      </c>
    </row>
    <row r="12" spans="1:7" x14ac:dyDescent="0.25">
      <c r="A12" s="27" t="s">
        <v>13</v>
      </c>
      <c r="B12" s="28">
        <v>0</v>
      </c>
      <c r="C12" s="28">
        <v>0</v>
      </c>
      <c r="D12" s="29">
        <f t="shared" si="0"/>
        <v>0</v>
      </c>
      <c r="E12" s="28">
        <v>0</v>
      </c>
      <c r="F12" s="28">
        <v>0</v>
      </c>
      <c r="G12" s="29">
        <f t="shared" si="1"/>
        <v>0</v>
      </c>
    </row>
    <row r="13" spans="1:7" x14ac:dyDescent="0.25">
      <c r="A13" s="30" t="s">
        <v>14</v>
      </c>
      <c r="B13" s="31">
        <v>0</v>
      </c>
      <c r="C13" s="31">
        <v>0</v>
      </c>
      <c r="D13" s="32">
        <f t="shared" si="0"/>
        <v>0</v>
      </c>
      <c r="E13" s="31">
        <v>0</v>
      </c>
      <c r="F13" s="31">
        <v>0</v>
      </c>
      <c r="G13" s="32">
        <f t="shared" si="1"/>
        <v>0</v>
      </c>
    </row>
    <row r="15" spans="1:7" ht="15.75" x14ac:dyDescent="0.25">
      <c r="A15" s="55" t="s">
        <v>58</v>
      </c>
      <c r="B15" s="56"/>
      <c r="C15" s="56"/>
      <c r="D15" s="56"/>
      <c r="E15" s="56"/>
      <c r="F15" s="56"/>
      <c r="G15" s="56"/>
    </row>
    <row r="16" spans="1:7" ht="30" x14ac:dyDescent="0.25">
      <c r="A16" s="5" t="s">
        <v>3</v>
      </c>
      <c r="B16" s="5" t="s">
        <v>33</v>
      </c>
      <c r="C16" s="5" t="s">
        <v>34</v>
      </c>
      <c r="D16" s="5" t="s">
        <v>35</v>
      </c>
      <c r="E16" s="5" t="s">
        <v>36</v>
      </c>
      <c r="F16" s="5" t="s">
        <v>37</v>
      </c>
      <c r="G16" s="5" t="s">
        <v>38</v>
      </c>
    </row>
    <row r="17" spans="1:7" x14ac:dyDescent="0.25">
      <c r="A17" s="6" t="s">
        <v>6</v>
      </c>
      <c r="B17" s="7">
        <v>14</v>
      </c>
      <c r="C17" s="7">
        <v>0</v>
      </c>
      <c r="D17" s="8">
        <f t="shared" ref="D17:D25" si="2">B17+C17</f>
        <v>14</v>
      </c>
      <c r="E17" s="7">
        <v>2</v>
      </c>
      <c r="F17" s="7">
        <v>0</v>
      </c>
      <c r="G17" s="8">
        <f t="shared" ref="G17:G25" si="3">D17-E17-F17</f>
        <v>12</v>
      </c>
    </row>
    <row r="18" spans="1:7" x14ac:dyDescent="0.25">
      <c r="A18" s="9" t="s">
        <v>7</v>
      </c>
      <c r="B18" s="10">
        <v>10</v>
      </c>
      <c r="C18" s="10">
        <v>0</v>
      </c>
      <c r="D18" s="11">
        <f t="shared" si="2"/>
        <v>10</v>
      </c>
      <c r="E18" s="10">
        <v>0</v>
      </c>
      <c r="F18" s="10">
        <v>0</v>
      </c>
      <c r="G18" s="11">
        <f t="shared" si="3"/>
        <v>10</v>
      </c>
    </row>
    <row r="19" spans="1:7" x14ac:dyDescent="0.25">
      <c r="A19" s="12" t="s">
        <v>8</v>
      </c>
      <c r="B19" s="13">
        <v>0</v>
      </c>
      <c r="C19" s="13">
        <v>0</v>
      </c>
      <c r="D19" s="14">
        <f t="shared" si="2"/>
        <v>0</v>
      </c>
      <c r="E19" s="13">
        <v>0</v>
      </c>
      <c r="F19" s="13">
        <v>0</v>
      </c>
      <c r="G19" s="14">
        <f t="shared" si="3"/>
        <v>0</v>
      </c>
    </row>
    <row r="20" spans="1:7" x14ac:dyDescent="0.25">
      <c r="A20" s="15" t="s">
        <v>9</v>
      </c>
      <c r="B20" s="16">
        <v>0</v>
      </c>
      <c r="C20" s="16">
        <v>0</v>
      </c>
      <c r="D20" s="17">
        <f t="shared" si="2"/>
        <v>0</v>
      </c>
      <c r="E20" s="16">
        <v>0</v>
      </c>
      <c r="F20" s="16">
        <v>0</v>
      </c>
      <c r="G20" s="17">
        <f t="shared" si="3"/>
        <v>0</v>
      </c>
    </row>
    <row r="21" spans="1:7" x14ac:dyDescent="0.25">
      <c r="A21" s="18" t="s">
        <v>10</v>
      </c>
      <c r="B21" s="19">
        <v>0</v>
      </c>
      <c r="C21" s="19">
        <v>0</v>
      </c>
      <c r="D21" s="20">
        <f t="shared" si="2"/>
        <v>0</v>
      </c>
      <c r="E21" s="19">
        <v>0</v>
      </c>
      <c r="F21" s="19">
        <v>0</v>
      </c>
      <c r="G21" s="20">
        <f t="shared" si="3"/>
        <v>0</v>
      </c>
    </row>
    <row r="22" spans="1:7" x14ac:dyDescent="0.25">
      <c r="A22" s="21" t="s">
        <v>11</v>
      </c>
      <c r="B22" s="22">
        <v>0</v>
      </c>
      <c r="C22" s="22">
        <v>0</v>
      </c>
      <c r="D22" s="23">
        <f t="shared" si="2"/>
        <v>0</v>
      </c>
      <c r="E22" s="22">
        <v>0</v>
      </c>
      <c r="F22" s="22">
        <v>0</v>
      </c>
      <c r="G22" s="23">
        <f t="shared" si="3"/>
        <v>0</v>
      </c>
    </row>
    <row r="23" spans="1:7" x14ac:dyDescent="0.25">
      <c r="A23" s="24" t="s">
        <v>12</v>
      </c>
      <c r="B23" s="25">
        <v>0</v>
      </c>
      <c r="C23" s="25">
        <v>0</v>
      </c>
      <c r="D23" s="26">
        <f t="shared" si="2"/>
        <v>0</v>
      </c>
      <c r="E23" s="25">
        <v>0</v>
      </c>
      <c r="F23" s="25">
        <v>0</v>
      </c>
      <c r="G23" s="26">
        <f t="shared" si="3"/>
        <v>0</v>
      </c>
    </row>
    <row r="24" spans="1:7" x14ac:dyDescent="0.25">
      <c r="A24" s="27" t="s">
        <v>13</v>
      </c>
      <c r="B24" s="28">
        <v>0</v>
      </c>
      <c r="C24" s="28">
        <v>0</v>
      </c>
      <c r="D24" s="29">
        <f t="shared" si="2"/>
        <v>0</v>
      </c>
      <c r="E24" s="28">
        <v>0</v>
      </c>
      <c r="F24" s="28">
        <v>0</v>
      </c>
      <c r="G24" s="29">
        <f t="shared" si="3"/>
        <v>0</v>
      </c>
    </row>
    <row r="25" spans="1:7" x14ac:dyDescent="0.25">
      <c r="A25" s="30" t="s">
        <v>14</v>
      </c>
      <c r="B25" s="31">
        <v>0</v>
      </c>
      <c r="C25" s="31">
        <v>0</v>
      </c>
      <c r="D25" s="32">
        <f t="shared" si="2"/>
        <v>0</v>
      </c>
      <c r="E25" s="31">
        <v>0</v>
      </c>
      <c r="F25" s="31">
        <v>0</v>
      </c>
      <c r="G25" s="32">
        <f t="shared" si="3"/>
        <v>0</v>
      </c>
    </row>
    <row r="27" spans="1:7" ht="15.75" x14ac:dyDescent="0.25">
      <c r="A27" s="57" t="s">
        <v>57</v>
      </c>
      <c r="B27" s="58"/>
      <c r="C27" s="58"/>
      <c r="D27" s="58"/>
      <c r="E27" s="58"/>
      <c r="F27" s="58"/>
      <c r="G27" s="58"/>
    </row>
    <row r="28" spans="1:7" ht="30" x14ac:dyDescent="0.25">
      <c r="A28" s="5" t="s">
        <v>3</v>
      </c>
      <c r="B28" s="5" t="s">
        <v>33</v>
      </c>
      <c r="C28" s="5" t="s">
        <v>34</v>
      </c>
      <c r="D28" s="5" t="s">
        <v>35</v>
      </c>
      <c r="E28" s="5" t="s">
        <v>36</v>
      </c>
      <c r="F28" s="5" t="s">
        <v>37</v>
      </c>
      <c r="G28" s="5" t="s">
        <v>38</v>
      </c>
    </row>
    <row r="29" spans="1:7" x14ac:dyDescent="0.25">
      <c r="A29" s="6" t="s">
        <v>6</v>
      </c>
      <c r="B29" s="7">
        <v>24</v>
      </c>
      <c r="C29" s="7">
        <v>0</v>
      </c>
      <c r="D29" s="8">
        <f t="shared" ref="D29:D37" si="4">B29+C29</f>
        <v>24</v>
      </c>
      <c r="E29" s="7">
        <v>0</v>
      </c>
      <c r="F29" s="7">
        <v>0</v>
      </c>
      <c r="G29" s="8">
        <f t="shared" ref="G29:G37" si="5">D29-E29-F29</f>
        <v>24</v>
      </c>
    </row>
    <row r="30" spans="1:7" x14ac:dyDescent="0.25">
      <c r="A30" s="9" t="s">
        <v>7</v>
      </c>
      <c r="B30" s="10">
        <v>5</v>
      </c>
      <c r="C30" s="10">
        <v>0</v>
      </c>
      <c r="D30" s="11">
        <f t="shared" si="4"/>
        <v>5</v>
      </c>
      <c r="E30" s="10">
        <v>0</v>
      </c>
      <c r="F30" s="10">
        <v>0</v>
      </c>
      <c r="G30" s="11">
        <f t="shared" si="5"/>
        <v>5</v>
      </c>
    </row>
    <row r="31" spans="1:7" x14ac:dyDescent="0.25">
      <c r="A31" s="12" t="s">
        <v>8</v>
      </c>
      <c r="B31" s="13">
        <v>0</v>
      </c>
      <c r="C31" s="13">
        <v>0</v>
      </c>
      <c r="D31" s="14">
        <f t="shared" si="4"/>
        <v>0</v>
      </c>
      <c r="E31" s="13">
        <v>0</v>
      </c>
      <c r="F31" s="13">
        <v>0</v>
      </c>
      <c r="G31" s="14">
        <f t="shared" si="5"/>
        <v>0</v>
      </c>
    </row>
    <row r="32" spans="1:7" x14ac:dyDescent="0.25">
      <c r="A32" s="15" t="s">
        <v>9</v>
      </c>
      <c r="B32" s="16">
        <v>2340</v>
      </c>
      <c r="C32" s="16">
        <v>0</v>
      </c>
      <c r="D32" s="17">
        <f t="shared" si="4"/>
        <v>2340</v>
      </c>
      <c r="E32" s="16">
        <v>0</v>
      </c>
      <c r="F32" s="16">
        <v>0</v>
      </c>
      <c r="G32" s="17">
        <f t="shared" si="5"/>
        <v>2340</v>
      </c>
    </row>
    <row r="33" spans="1:7" x14ac:dyDescent="0.25">
      <c r="A33" s="18" t="s">
        <v>10</v>
      </c>
      <c r="B33" s="19">
        <v>250</v>
      </c>
      <c r="C33" s="19">
        <v>0</v>
      </c>
      <c r="D33" s="20">
        <f t="shared" si="4"/>
        <v>250</v>
      </c>
      <c r="E33" s="19">
        <v>0</v>
      </c>
      <c r="F33" s="19">
        <v>0</v>
      </c>
      <c r="G33" s="20">
        <f t="shared" si="5"/>
        <v>250</v>
      </c>
    </row>
    <row r="34" spans="1:7" x14ac:dyDescent="0.25">
      <c r="A34" s="21" t="s">
        <v>11</v>
      </c>
      <c r="B34" s="22">
        <v>0</v>
      </c>
      <c r="C34" s="22">
        <v>0</v>
      </c>
      <c r="D34" s="23">
        <f t="shared" si="4"/>
        <v>0</v>
      </c>
      <c r="E34" s="22">
        <v>0</v>
      </c>
      <c r="F34" s="22">
        <v>0</v>
      </c>
      <c r="G34" s="23">
        <f t="shared" si="5"/>
        <v>0</v>
      </c>
    </row>
    <row r="35" spans="1:7" x14ac:dyDescent="0.25">
      <c r="A35" s="24" t="s">
        <v>12</v>
      </c>
      <c r="B35" s="25">
        <v>140</v>
      </c>
      <c r="C35" s="25">
        <v>0</v>
      </c>
      <c r="D35" s="26">
        <f t="shared" si="4"/>
        <v>140</v>
      </c>
      <c r="E35" s="25">
        <v>0</v>
      </c>
      <c r="F35" s="25">
        <v>0</v>
      </c>
      <c r="G35" s="26">
        <f t="shared" si="5"/>
        <v>140</v>
      </c>
    </row>
    <row r="36" spans="1:7" x14ac:dyDescent="0.25">
      <c r="A36" s="27" t="s">
        <v>13</v>
      </c>
      <c r="B36" s="28">
        <v>0</v>
      </c>
      <c r="C36" s="28">
        <v>0</v>
      </c>
      <c r="D36" s="29">
        <f t="shared" si="4"/>
        <v>0</v>
      </c>
      <c r="E36" s="28">
        <v>0</v>
      </c>
      <c r="F36" s="28">
        <v>0</v>
      </c>
      <c r="G36" s="29">
        <f t="shared" si="5"/>
        <v>0</v>
      </c>
    </row>
    <row r="37" spans="1:7" x14ac:dyDescent="0.25">
      <c r="A37" s="30" t="s">
        <v>14</v>
      </c>
      <c r="B37" s="31">
        <v>0</v>
      </c>
      <c r="C37" s="31">
        <v>0</v>
      </c>
      <c r="D37" s="32">
        <f t="shared" si="4"/>
        <v>0</v>
      </c>
      <c r="E37" s="31">
        <v>0</v>
      </c>
      <c r="F37" s="31">
        <v>0</v>
      </c>
      <c r="G37" s="32">
        <f t="shared" si="5"/>
        <v>0</v>
      </c>
    </row>
    <row r="39" spans="1:7" ht="15.75" x14ac:dyDescent="0.25">
      <c r="A39" s="59" t="s">
        <v>56</v>
      </c>
      <c r="B39" s="60"/>
      <c r="C39" s="60"/>
      <c r="D39" s="60"/>
      <c r="E39" s="60"/>
      <c r="F39" s="60"/>
      <c r="G39" s="60"/>
    </row>
    <row r="40" spans="1:7" ht="30" x14ac:dyDescent="0.25">
      <c r="A40" s="5" t="s">
        <v>3</v>
      </c>
      <c r="B40" s="5" t="s">
        <v>33</v>
      </c>
      <c r="C40" s="5" t="s">
        <v>34</v>
      </c>
      <c r="D40" s="5" t="s">
        <v>35</v>
      </c>
      <c r="E40" s="5" t="s">
        <v>36</v>
      </c>
      <c r="F40" s="5" t="s">
        <v>37</v>
      </c>
      <c r="G40" s="5" t="s">
        <v>38</v>
      </c>
    </row>
    <row r="41" spans="1:7" x14ac:dyDescent="0.25">
      <c r="A41" s="6" t="s">
        <v>6</v>
      </c>
      <c r="B41" s="7">
        <v>5</v>
      </c>
      <c r="C41" s="7">
        <v>10</v>
      </c>
      <c r="D41" s="8">
        <f t="shared" ref="D41:D49" si="6">B41+C41</f>
        <v>15</v>
      </c>
      <c r="E41" s="7">
        <v>0</v>
      </c>
      <c r="F41" s="7">
        <v>0</v>
      </c>
      <c r="G41" s="8">
        <f t="shared" ref="G41:G49" si="7">D41-E41-F41</f>
        <v>15</v>
      </c>
    </row>
    <row r="42" spans="1:7" x14ac:dyDescent="0.25">
      <c r="A42" s="9" t="s">
        <v>7</v>
      </c>
      <c r="B42" s="10">
        <v>10</v>
      </c>
      <c r="C42" s="10">
        <v>0</v>
      </c>
      <c r="D42" s="11">
        <f t="shared" si="6"/>
        <v>10</v>
      </c>
      <c r="E42" s="10">
        <v>0</v>
      </c>
      <c r="F42" s="10">
        <v>0</v>
      </c>
      <c r="G42" s="11">
        <f t="shared" si="7"/>
        <v>10</v>
      </c>
    </row>
    <row r="43" spans="1:7" x14ac:dyDescent="0.25">
      <c r="A43" s="12" t="s">
        <v>8</v>
      </c>
      <c r="B43" s="13">
        <v>0</v>
      </c>
      <c r="C43" s="13">
        <v>0</v>
      </c>
      <c r="D43" s="14">
        <f t="shared" si="6"/>
        <v>0</v>
      </c>
      <c r="E43" s="13">
        <v>0</v>
      </c>
      <c r="F43" s="13">
        <v>0</v>
      </c>
      <c r="G43" s="14">
        <f t="shared" si="7"/>
        <v>0</v>
      </c>
    </row>
    <row r="44" spans="1:7" x14ac:dyDescent="0.25">
      <c r="A44" s="15" t="s">
        <v>9</v>
      </c>
      <c r="B44" s="16">
        <v>0</v>
      </c>
      <c r="C44" s="16">
        <v>100</v>
      </c>
      <c r="D44" s="17">
        <f t="shared" si="6"/>
        <v>100</v>
      </c>
      <c r="E44" s="16">
        <v>50</v>
      </c>
      <c r="F44" s="16">
        <v>50</v>
      </c>
      <c r="G44" s="17">
        <f t="shared" si="7"/>
        <v>0</v>
      </c>
    </row>
    <row r="45" spans="1:7" x14ac:dyDescent="0.25">
      <c r="A45" s="18" t="s">
        <v>10</v>
      </c>
      <c r="B45" s="19">
        <v>0</v>
      </c>
      <c r="C45" s="19">
        <v>50</v>
      </c>
      <c r="D45" s="20">
        <f t="shared" si="6"/>
        <v>50</v>
      </c>
      <c r="E45" s="19">
        <v>0</v>
      </c>
      <c r="F45" s="19">
        <v>50</v>
      </c>
      <c r="G45" s="20">
        <f t="shared" si="7"/>
        <v>0</v>
      </c>
    </row>
    <row r="46" spans="1:7" x14ac:dyDescent="0.25">
      <c r="A46" s="21" t="s">
        <v>11</v>
      </c>
      <c r="B46" s="22">
        <v>0</v>
      </c>
      <c r="C46" s="22">
        <v>0</v>
      </c>
      <c r="D46" s="23">
        <f t="shared" si="6"/>
        <v>0</v>
      </c>
      <c r="E46" s="22">
        <v>0</v>
      </c>
      <c r="F46" s="22">
        <v>0</v>
      </c>
      <c r="G46" s="23">
        <f t="shared" si="7"/>
        <v>0</v>
      </c>
    </row>
    <row r="47" spans="1:7" x14ac:dyDescent="0.25">
      <c r="A47" s="24" t="s">
        <v>12</v>
      </c>
      <c r="B47" s="25">
        <v>0</v>
      </c>
      <c r="C47" s="25">
        <v>50</v>
      </c>
      <c r="D47" s="26">
        <f t="shared" si="6"/>
        <v>50</v>
      </c>
      <c r="E47" s="25">
        <v>20</v>
      </c>
      <c r="F47" s="25">
        <v>30</v>
      </c>
      <c r="G47" s="26">
        <f t="shared" si="7"/>
        <v>0</v>
      </c>
    </row>
    <row r="48" spans="1:7" x14ac:dyDescent="0.25">
      <c r="A48" s="27" t="s">
        <v>13</v>
      </c>
      <c r="B48" s="28">
        <v>0</v>
      </c>
      <c r="C48" s="28">
        <v>0</v>
      </c>
      <c r="D48" s="29">
        <f t="shared" si="6"/>
        <v>0</v>
      </c>
      <c r="E48" s="28">
        <v>0</v>
      </c>
      <c r="F48" s="28">
        <v>0</v>
      </c>
      <c r="G48" s="29">
        <f t="shared" si="7"/>
        <v>0</v>
      </c>
    </row>
    <row r="49" spans="1:7" x14ac:dyDescent="0.25">
      <c r="A49" s="30" t="s">
        <v>14</v>
      </c>
      <c r="B49" s="31">
        <v>0</v>
      </c>
      <c r="C49" s="31">
        <v>0</v>
      </c>
      <c r="D49" s="32">
        <f t="shared" si="6"/>
        <v>0</v>
      </c>
      <c r="E49" s="31">
        <v>0</v>
      </c>
      <c r="F49" s="31">
        <v>0</v>
      </c>
      <c r="G49" s="32">
        <f t="shared" si="7"/>
        <v>0</v>
      </c>
    </row>
    <row r="51" spans="1:7" ht="15.75" x14ac:dyDescent="0.25">
      <c r="A51" s="61" t="s">
        <v>55</v>
      </c>
      <c r="B51" s="62"/>
      <c r="C51" s="62"/>
      <c r="D51" s="62"/>
      <c r="E51" s="62"/>
      <c r="F51" s="62"/>
      <c r="G51" s="62"/>
    </row>
    <row r="52" spans="1:7" ht="30" x14ac:dyDescent="0.25">
      <c r="A52" s="5" t="s">
        <v>3</v>
      </c>
      <c r="B52" s="5" t="s">
        <v>33</v>
      </c>
      <c r="C52" s="5" t="s">
        <v>34</v>
      </c>
      <c r="D52" s="5" t="s">
        <v>35</v>
      </c>
      <c r="E52" s="5" t="s">
        <v>36</v>
      </c>
      <c r="F52" s="5" t="s">
        <v>37</v>
      </c>
      <c r="G52" s="5" t="s">
        <v>38</v>
      </c>
    </row>
    <row r="53" spans="1:7" x14ac:dyDescent="0.25">
      <c r="A53" s="6" t="s">
        <v>6</v>
      </c>
      <c r="B53" s="7">
        <v>6</v>
      </c>
      <c r="C53" s="7">
        <v>0</v>
      </c>
      <c r="D53" s="8">
        <f t="shared" ref="D53:D61" si="8">B53+C53</f>
        <v>6</v>
      </c>
      <c r="E53" s="7">
        <v>0</v>
      </c>
      <c r="F53" s="7">
        <v>0</v>
      </c>
      <c r="G53" s="8">
        <f t="shared" ref="G53:G61" si="9">D53-E53-F53</f>
        <v>6</v>
      </c>
    </row>
    <row r="54" spans="1:7" x14ac:dyDescent="0.25">
      <c r="A54" s="9" t="s">
        <v>7</v>
      </c>
      <c r="B54" s="10">
        <v>5</v>
      </c>
      <c r="C54" s="10">
        <v>0</v>
      </c>
      <c r="D54" s="11">
        <f t="shared" si="8"/>
        <v>5</v>
      </c>
      <c r="E54" s="10">
        <v>0</v>
      </c>
      <c r="F54" s="10">
        <v>0</v>
      </c>
      <c r="G54" s="11">
        <f t="shared" si="9"/>
        <v>5</v>
      </c>
    </row>
    <row r="55" spans="1:7" x14ac:dyDescent="0.25">
      <c r="A55" s="12" t="s">
        <v>8</v>
      </c>
      <c r="B55" s="13">
        <v>0</v>
      </c>
      <c r="C55" s="13">
        <v>0</v>
      </c>
      <c r="D55" s="14">
        <f t="shared" si="8"/>
        <v>0</v>
      </c>
      <c r="E55" s="13">
        <v>0</v>
      </c>
      <c r="F55" s="13">
        <v>0</v>
      </c>
      <c r="G55" s="14">
        <f t="shared" si="9"/>
        <v>0</v>
      </c>
    </row>
    <row r="56" spans="1:7" x14ac:dyDescent="0.25">
      <c r="A56" s="15" t="s">
        <v>9</v>
      </c>
      <c r="B56" s="16">
        <v>100</v>
      </c>
      <c r="C56" s="16">
        <v>100</v>
      </c>
      <c r="D56" s="17">
        <f t="shared" si="8"/>
        <v>200</v>
      </c>
      <c r="E56" s="16">
        <v>90</v>
      </c>
      <c r="F56" s="16">
        <v>10</v>
      </c>
      <c r="G56" s="17">
        <f t="shared" si="9"/>
        <v>100</v>
      </c>
    </row>
    <row r="57" spans="1:7" x14ac:dyDescent="0.25">
      <c r="A57" s="18" t="s">
        <v>10</v>
      </c>
      <c r="B57" s="19">
        <v>0</v>
      </c>
      <c r="C57" s="19">
        <v>0</v>
      </c>
      <c r="D57" s="20">
        <f t="shared" si="8"/>
        <v>0</v>
      </c>
      <c r="E57" s="19">
        <v>0</v>
      </c>
      <c r="F57" s="19">
        <v>0</v>
      </c>
      <c r="G57" s="20">
        <f t="shared" si="9"/>
        <v>0</v>
      </c>
    </row>
    <row r="58" spans="1:7" x14ac:dyDescent="0.25">
      <c r="A58" s="21" t="s">
        <v>11</v>
      </c>
      <c r="B58" s="22">
        <v>0</v>
      </c>
      <c r="C58" s="22">
        <v>0</v>
      </c>
      <c r="D58" s="23">
        <f t="shared" si="8"/>
        <v>0</v>
      </c>
      <c r="E58" s="22">
        <v>0</v>
      </c>
      <c r="F58" s="22">
        <v>0</v>
      </c>
      <c r="G58" s="23">
        <f t="shared" si="9"/>
        <v>0</v>
      </c>
    </row>
    <row r="59" spans="1:7" x14ac:dyDescent="0.25">
      <c r="A59" s="24" t="s">
        <v>12</v>
      </c>
      <c r="B59" s="25">
        <v>0</v>
      </c>
      <c r="C59" s="25">
        <v>50</v>
      </c>
      <c r="D59" s="26">
        <f t="shared" si="8"/>
        <v>50</v>
      </c>
      <c r="E59" s="25">
        <v>30</v>
      </c>
      <c r="F59" s="25">
        <v>20</v>
      </c>
      <c r="G59" s="26">
        <f t="shared" si="9"/>
        <v>0</v>
      </c>
    </row>
    <row r="60" spans="1:7" x14ac:dyDescent="0.25">
      <c r="A60" s="27" t="s">
        <v>13</v>
      </c>
      <c r="B60" s="28">
        <v>0</v>
      </c>
      <c r="C60" s="28">
        <v>0</v>
      </c>
      <c r="D60" s="29">
        <f t="shared" si="8"/>
        <v>0</v>
      </c>
      <c r="E60" s="28">
        <v>0</v>
      </c>
      <c r="F60" s="28">
        <v>0</v>
      </c>
      <c r="G60" s="29">
        <f t="shared" si="9"/>
        <v>0</v>
      </c>
    </row>
    <row r="61" spans="1:7" x14ac:dyDescent="0.25">
      <c r="A61" s="30" t="s">
        <v>14</v>
      </c>
      <c r="B61" s="31">
        <v>0</v>
      </c>
      <c r="C61" s="31">
        <v>0</v>
      </c>
      <c r="D61" s="32">
        <f t="shared" si="8"/>
        <v>0</v>
      </c>
      <c r="E61" s="31">
        <v>0</v>
      </c>
      <c r="F61" s="31">
        <v>0</v>
      </c>
      <c r="G61" s="32">
        <f t="shared" si="9"/>
        <v>0</v>
      </c>
    </row>
    <row r="63" spans="1:7" ht="15.75" x14ac:dyDescent="0.25">
      <c r="A63" s="63" t="s">
        <v>54</v>
      </c>
      <c r="B63" s="64"/>
      <c r="C63" s="64"/>
      <c r="D63" s="64"/>
      <c r="E63" s="64"/>
      <c r="F63" s="64"/>
      <c r="G63" s="64"/>
    </row>
    <row r="64" spans="1:7" ht="30" x14ac:dyDescent="0.25">
      <c r="A64" s="5" t="s">
        <v>3</v>
      </c>
      <c r="B64" s="5" t="s">
        <v>33</v>
      </c>
      <c r="C64" s="5" t="s">
        <v>34</v>
      </c>
      <c r="D64" s="5" t="s">
        <v>35</v>
      </c>
      <c r="E64" s="5" t="s">
        <v>36</v>
      </c>
      <c r="F64" s="5" t="s">
        <v>37</v>
      </c>
      <c r="G64" s="5" t="s">
        <v>38</v>
      </c>
    </row>
    <row r="65" spans="1:7" x14ac:dyDescent="0.25">
      <c r="A65" s="6" t="s">
        <v>6</v>
      </c>
      <c r="B65" s="7">
        <v>43</v>
      </c>
      <c r="C65" s="7">
        <v>0</v>
      </c>
      <c r="D65" s="8">
        <f t="shared" ref="D65:D73" si="10">B65+C65</f>
        <v>43</v>
      </c>
      <c r="E65" s="7">
        <v>1</v>
      </c>
      <c r="F65" s="7">
        <v>0</v>
      </c>
      <c r="G65" s="8">
        <f t="shared" ref="G65:G73" si="11">D65-E65-F65</f>
        <v>42</v>
      </c>
    </row>
    <row r="66" spans="1:7" x14ac:dyDescent="0.25">
      <c r="A66" s="9" t="s">
        <v>7</v>
      </c>
      <c r="B66" s="10">
        <v>0</v>
      </c>
      <c r="C66" s="10">
        <v>0</v>
      </c>
      <c r="D66" s="11">
        <f t="shared" si="10"/>
        <v>0</v>
      </c>
      <c r="E66" s="10">
        <v>0</v>
      </c>
      <c r="F66" s="10">
        <v>0</v>
      </c>
      <c r="G66" s="11">
        <f t="shared" si="11"/>
        <v>0</v>
      </c>
    </row>
    <row r="67" spans="1:7" x14ac:dyDescent="0.25">
      <c r="A67" s="12" t="s">
        <v>8</v>
      </c>
      <c r="B67" s="13">
        <v>0</v>
      </c>
      <c r="C67" s="13">
        <v>0</v>
      </c>
      <c r="D67" s="14">
        <f t="shared" si="10"/>
        <v>0</v>
      </c>
      <c r="E67" s="13">
        <v>0</v>
      </c>
      <c r="F67" s="13">
        <v>0</v>
      </c>
      <c r="G67" s="14">
        <f t="shared" si="11"/>
        <v>0</v>
      </c>
    </row>
    <row r="68" spans="1:7" x14ac:dyDescent="0.25">
      <c r="A68" s="15" t="s">
        <v>9</v>
      </c>
      <c r="B68" s="16">
        <v>1000</v>
      </c>
      <c r="C68" s="16">
        <v>0</v>
      </c>
      <c r="D68" s="17">
        <f t="shared" si="10"/>
        <v>1000</v>
      </c>
      <c r="E68" s="16">
        <v>100</v>
      </c>
      <c r="F68" s="16">
        <v>0</v>
      </c>
      <c r="G68" s="17">
        <f t="shared" si="11"/>
        <v>900</v>
      </c>
    </row>
    <row r="69" spans="1:7" x14ac:dyDescent="0.25">
      <c r="A69" s="18" t="s">
        <v>10</v>
      </c>
      <c r="B69" s="19">
        <v>800</v>
      </c>
      <c r="C69" s="19">
        <v>0</v>
      </c>
      <c r="D69" s="20">
        <f t="shared" si="10"/>
        <v>800</v>
      </c>
      <c r="E69" s="19">
        <v>150</v>
      </c>
      <c r="F69" s="19">
        <v>0</v>
      </c>
      <c r="G69" s="20">
        <f t="shared" si="11"/>
        <v>650</v>
      </c>
    </row>
    <row r="70" spans="1:7" x14ac:dyDescent="0.25">
      <c r="A70" s="21" t="s">
        <v>11</v>
      </c>
      <c r="B70" s="22">
        <v>100</v>
      </c>
      <c r="C70" s="22">
        <v>0</v>
      </c>
      <c r="D70" s="23">
        <f t="shared" si="10"/>
        <v>100</v>
      </c>
      <c r="E70" s="22">
        <v>0</v>
      </c>
      <c r="F70" s="22">
        <v>0</v>
      </c>
      <c r="G70" s="23">
        <f t="shared" si="11"/>
        <v>100</v>
      </c>
    </row>
    <row r="71" spans="1:7" x14ac:dyDescent="0.25">
      <c r="A71" s="24" t="s">
        <v>12</v>
      </c>
      <c r="B71" s="25">
        <v>670</v>
      </c>
      <c r="C71" s="25">
        <v>0</v>
      </c>
      <c r="D71" s="26">
        <f t="shared" si="10"/>
        <v>670</v>
      </c>
      <c r="E71" s="25">
        <v>20</v>
      </c>
      <c r="F71" s="25">
        <v>0</v>
      </c>
      <c r="G71" s="26">
        <f t="shared" si="11"/>
        <v>650</v>
      </c>
    </row>
    <row r="72" spans="1:7" x14ac:dyDescent="0.25">
      <c r="A72" s="27" t="s">
        <v>13</v>
      </c>
      <c r="B72" s="28">
        <v>0</v>
      </c>
      <c r="C72" s="28">
        <v>0</v>
      </c>
      <c r="D72" s="29">
        <f t="shared" si="10"/>
        <v>0</v>
      </c>
      <c r="E72" s="28">
        <v>0</v>
      </c>
      <c r="F72" s="28">
        <v>0</v>
      </c>
      <c r="G72" s="29">
        <f t="shared" si="11"/>
        <v>0</v>
      </c>
    </row>
    <row r="73" spans="1:7" x14ac:dyDescent="0.25">
      <c r="A73" s="30" t="s">
        <v>14</v>
      </c>
      <c r="B73" s="31">
        <v>0</v>
      </c>
      <c r="C73" s="31">
        <v>0</v>
      </c>
      <c r="D73" s="32">
        <f t="shared" si="10"/>
        <v>0</v>
      </c>
      <c r="E73" s="31">
        <v>0</v>
      </c>
      <c r="F73" s="31">
        <v>0</v>
      </c>
      <c r="G73" s="32">
        <f t="shared" si="11"/>
        <v>0</v>
      </c>
    </row>
    <row r="75" spans="1:7" ht="15.75" x14ac:dyDescent="0.25">
      <c r="A75" s="65" t="s">
        <v>53</v>
      </c>
      <c r="B75" s="66"/>
      <c r="C75" s="66"/>
      <c r="D75" s="66"/>
      <c r="E75" s="66"/>
      <c r="F75" s="66"/>
      <c r="G75" s="66"/>
    </row>
    <row r="76" spans="1:7" ht="30" x14ac:dyDescent="0.25">
      <c r="A76" s="5" t="s">
        <v>3</v>
      </c>
      <c r="B76" s="5" t="s">
        <v>33</v>
      </c>
      <c r="C76" s="5" t="s">
        <v>34</v>
      </c>
      <c r="D76" s="5" t="s">
        <v>35</v>
      </c>
      <c r="E76" s="5" t="s">
        <v>36</v>
      </c>
      <c r="F76" s="5" t="s">
        <v>37</v>
      </c>
      <c r="G76" s="5" t="s">
        <v>38</v>
      </c>
    </row>
    <row r="77" spans="1:7" x14ac:dyDescent="0.25">
      <c r="A77" s="6" t="s">
        <v>6</v>
      </c>
      <c r="B77" s="7">
        <v>10</v>
      </c>
      <c r="C77" s="7">
        <v>25</v>
      </c>
      <c r="D77" s="8">
        <f t="shared" ref="D77:D85" si="12">B77+C77</f>
        <v>35</v>
      </c>
      <c r="E77" s="7">
        <v>1</v>
      </c>
      <c r="F77" s="7">
        <v>0</v>
      </c>
      <c r="G77" s="8">
        <f t="shared" ref="G77:G85" si="13">D77-E77-F77</f>
        <v>34</v>
      </c>
    </row>
    <row r="78" spans="1:7" x14ac:dyDescent="0.25">
      <c r="A78" s="9" t="s">
        <v>7</v>
      </c>
      <c r="B78" s="10">
        <v>25</v>
      </c>
      <c r="C78" s="10">
        <v>0</v>
      </c>
      <c r="D78" s="11">
        <f t="shared" si="12"/>
        <v>25</v>
      </c>
      <c r="E78" s="10">
        <v>25</v>
      </c>
      <c r="F78" s="10">
        <v>0</v>
      </c>
      <c r="G78" s="11">
        <f t="shared" si="13"/>
        <v>0</v>
      </c>
    </row>
    <row r="79" spans="1:7" x14ac:dyDescent="0.25">
      <c r="A79" s="12" t="s">
        <v>8</v>
      </c>
      <c r="B79" s="13">
        <v>0</v>
      </c>
      <c r="C79" s="13">
        <v>0</v>
      </c>
      <c r="D79" s="14">
        <f t="shared" si="12"/>
        <v>0</v>
      </c>
      <c r="E79" s="13">
        <v>0</v>
      </c>
      <c r="F79" s="13">
        <v>0</v>
      </c>
      <c r="G79" s="14">
        <f t="shared" si="13"/>
        <v>0</v>
      </c>
    </row>
    <row r="80" spans="1:7" x14ac:dyDescent="0.25">
      <c r="A80" s="15" t="s">
        <v>9</v>
      </c>
      <c r="B80" s="16">
        <v>0</v>
      </c>
      <c r="C80" s="16">
        <v>200</v>
      </c>
      <c r="D80" s="17">
        <f t="shared" si="12"/>
        <v>200</v>
      </c>
      <c r="E80" s="16">
        <v>100</v>
      </c>
      <c r="F80" s="16">
        <v>100</v>
      </c>
      <c r="G80" s="17">
        <f t="shared" si="13"/>
        <v>0</v>
      </c>
    </row>
    <row r="81" spans="1:7" x14ac:dyDescent="0.25">
      <c r="A81" s="18" t="s">
        <v>10</v>
      </c>
      <c r="B81" s="19">
        <v>0</v>
      </c>
      <c r="C81" s="19">
        <v>0</v>
      </c>
      <c r="D81" s="20">
        <f t="shared" si="12"/>
        <v>0</v>
      </c>
      <c r="E81" s="19">
        <v>0</v>
      </c>
      <c r="F81" s="19">
        <v>0</v>
      </c>
      <c r="G81" s="20">
        <f t="shared" si="13"/>
        <v>0</v>
      </c>
    </row>
    <row r="82" spans="1:7" x14ac:dyDescent="0.25">
      <c r="A82" s="21" t="s">
        <v>11</v>
      </c>
      <c r="B82" s="22">
        <v>0</v>
      </c>
      <c r="C82" s="22">
        <v>0</v>
      </c>
      <c r="D82" s="23">
        <f t="shared" si="12"/>
        <v>0</v>
      </c>
      <c r="E82" s="22">
        <v>0</v>
      </c>
      <c r="F82" s="22">
        <v>0</v>
      </c>
      <c r="G82" s="23">
        <f t="shared" si="13"/>
        <v>0</v>
      </c>
    </row>
    <row r="83" spans="1:7" x14ac:dyDescent="0.25">
      <c r="A83" s="24" t="s">
        <v>12</v>
      </c>
      <c r="B83" s="25">
        <v>0</v>
      </c>
      <c r="C83" s="25">
        <v>100</v>
      </c>
      <c r="D83" s="26">
        <f t="shared" si="12"/>
        <v>100</v>
      </c>
      <c r="E83" s="25">
        <v>10</v>
      </c>
      <c r="F83" s="25">
        <v>90</v>
      </c>
      <c r="G83" s="26">
        <f t="shared" si="13"/>
        <v>0</v>
      </c>
    </row>
    <row r="84" spans="1:7" x14ac:dyDescent="0.25">
      <c r="A84" s="27" t="s">
        <v>13</v>
      </c>
      <c r="B84" s="28">
        <v>0</v>
      </c>
      <c r="C84" s="28">
        <v>0</v>
      </c>
      <c r="D84" s="29">
        <f t="shared" si="12"/>
        <v>0</v>
      </c>
      <c r="E84" s="28">
        <v>0</v>
      </c>
      <c r="F84" s="28">
        <v>0</v>
      </c>
      <c r="G84" s="29">
        <f t="shared" si="13"/>
        <v>0</v>
      </c>
    </row>
    <row r="85" spans="1:7" x14ac:dyDescent="0.25">
      <c r="A85" s="30" t="s">
        <v>14</v>
      </c>
      <c r="B85" s="31">
        <v>0</v>
      </c>
      <c r="C85" s="31">
        <v>0</v>
      </c>
      <c r="D85" s="32">
        <f t="shared" si="12"/>
        <v>0</v>
      </c>
      <c r="E85" s="31">
        <v>0</v>
      </c>
      <c r="F85" s="31">
        <v>0</v>
      </c>
      <c r="G85" s="32">
        <f t="shared" si="13"/>
        <v>0</v>
      </c>
    </row>
    <row r="87" spans="1:7" ht="15.75" x14ac:dyDescent="0.25">
      <c r="A87" s="53" t="s">
        <v>52</v>
      </c>
      <c r="B87" s="54"/>
      <c r="C87" s="54"/>
      <c r="D87" s="54"/>
      <c r="E87" s="54"/>
      <c r="F87" s="54"/>
      <c r="G87" s="54"/>
    </row>
    <row r="88" spans="1:7" ht="30" x14ac:dyDescent="0.25">
      <c r="A88" s="5" t="s">
        <v>3</v>
      </c>
      <c r="B88" s="5" t="s">
        <v>33</v>
      </c>
      <c r="C88" s="5" t="s">
        <v>34</v>
      </c>
      <c r="D88" s="5" t="s">
        <v>35</v>
      </c>
      <c r="E88" s="5" t="s">
        <v>36</v>
      </c>
      <c r="F88" s="5" t="s">
        <v>37</v>
      </c>
      <c r="G88" s="5" t="s">
        <v>38</v>
      </c>
    </row>
    <row r="89" spans="1:7" x14ac:dyDescent="0.25">
      <c r="A89" s="6" t="s">
        <v>6</v>
      </c>
      <c r="B89" s="7">
        <v>55</v>
      </c>
      <c r="C89" s="7">
        <v>0</v>
      </c>
      <c r="D89" s="8">
        <f t="shared" ref="D89:D97" si="14">B89+C89</f>
        <v>55</v>
      </c>
      <c r="E89" s="7">
        <v>0</v>
      </c>
      <c r="F89" s="7">
        <v>0</v>
      </c>
      <c r="G89" s="8">
        <f t="shared" ref="G89:G97" si="15">D89-E89-F89</f>
        <v>55</v>
      </c>
    </row>
    <row r="90" spans="1:7" x14ac:dyDescent="0.25">
      <c r="A90" s="9" t="s">
        <v>7</v>
      </c>
      <c r="B90" s="10">
        <v>10</v>
      </c>
      <c r="C90" s="10">
        <v>0</v>
      </c>
      <c r="D90" s="11">
        <f t="shared" si="14"/>
        <v>10</v>
      </c>
      <c r="E90" s="10">
        <v>0</v>
      </c>
      <c r="F90" s="10">
        <v>0</v>
      </c>
      <c r="G90" s="11">
        <f t="shared" si="15"/>
        <v>10</v>
      </c>
    </row>
    <row r="91" spans="1:7" x14ac:dyDescent="0.25">
      <c r="A91" s="12" t="s">
        <v>8</v>
      </c>
      <c r="B91" s="13">
        <v>0</v>
      </c>
      <c r="C91" s="13">
        <v>0</v>
      </c>
      <c r="D91" s="14">
        <f t="shared" si="14"/>
        <v>0</v>
      </c>
      <c r="E91" s="13">
        <v>0</v>
      </c>
      <c r="F91" s="13">
        <v>0</v>
      </c>
      <c r="G91" s="14">
        <f t="shared" si="15"/>
        <v>0</v>
      </c>
    </row>
    <row r="92" spans="1:7" x14ac:dyDescent="0.25">
      <c r="A92" s="15" t="s">
        <v>9</v>
      </c>
      <c r="B92" s="16">
        <v>0</v>
      </c>
      <c r="C92" s="16">
        <v>100</v>
      </c>
      <c r="D92" s="17">
        <f t="shared" si="14"/>
        <v>100</v>
      </c>
      <c r="E92" s="16">
        <v>100</v>
      </c>
      <c r="F92" s="16">
        <v>0</v>
      </c>
      <c r="G92" s="17">
        <f t="shared" si="15"/>
        <v>0</v>
      </c>
    </row>
    <row r="93" spans="1:7" x14ac:dyDescent="0.25">
      <c r="A93" s="18" t="s">
        <v>10</v>
      </c>
      <c r="B93" s="19">
        <v>0</v>
      </c>
      <c r="C93" s="19">
        <v>50</v>
      </c>
      <c r="D93" s="20">
        <f t="shared" si="14"/>
        <v>50</v>
      </c>
      <c r="E93" s="19">
        <v>50</v>
      </c>
      <c r="F93" s="19">
        <v>0</v>
      </c>
      <c r="G93" s="20">
        <f t="shared" si="15"/>
        <v>0</v>
      </c>
    </row>
    <row r="94" spans="1:7" x14ac:dyDescent="0.25">
      <c r="A94" s="21" t="s">
        <v>11</v>
      </c>
      <c r="B94" s="22">
        <v>0</v>
      </c>
      <c r="C94" s="22">
        <v>0</v>
      </c>
      <c r="D94" s="23">
        <f t="shared" si="14"/>
        <v>0</v>
      </c>
      <c r="E94" s="22">
        <v>0</v>
      </c>
      <c r="F94" s="22">
        <v>0</v>
      </c>
      <c r="G94" s="23">
        <f t="shared" si="15"/>
        <v>0</v>
      </c>
    </row>
    <row r="95" spans="1:7" x14ac:dyDescent="0.25">
      <c r="A95" s="24" t="s">
        <v>12</v>
      </c>
      <c r="B95" s="25">
        <v>0</v>
      </c>
      <c r="C95" s="25">
        <v>100</v>
      </c>
      <c r="D95" s="26">
        <f t="shared" si="14"/>
        <v>100</v>
      </c>
      <c r="E95" s="25">
        <v>30</v>
      </c>
      <c r="F95" s="25">
        <v>70</v>
      </c>
      <c r="G95" s="26">
        <f t="shared" si="15"/>
        <v>0</v>
      </c>
    </row>
    <row r="96" spans="1:7" x14ac:dyDescent="0.25">
      <c r="A96" s="27" t="s">
        <v>13</v>
      </c>
      <c r="B96" s="28">
        <v>0</v>
      </c>
      <c r="C96" s="28">
        <v>0</v>
      </c>
      <c r="D96" s="29">
        <f t="shared" si="14"/>
        <v>0</v>
      </c>
      <c r="E96" s="28">
        <v>0</v>
      </c>
      <c r="F96" s="28">
        <v>0</v>
      </c>
      <c r="G96" s="29">
        <f t="shared" si="15"/>
        <v>0</v>
      </c>
    </row>
    <row r="97" spans="1:7" x14ac:dyDescent="0.25">
      <c r="A97" s="30" t="s">
        <v>14</v>
      </c>
      <c r="B97" s="31">
        <v>0</v>
      </c>
      <c r="C97" s="31">
        <v>0</v>
      </c>
      <c r="D97" s="32">
        <f t="shared" si="14"/>
        <v>0</v>
      </c>
      <c r="E97" s="31">
        <v>0</v>
      </c>
      <c r="F97" s="31">
        <v>0</v>
      </c>
      <c r="G97" s="32">
        <f t="shared" si="15"/>
        <v>0</v>
      </c>
    </row>
    <row r="99" spans="1:7" ht="15.75" x14ac:dyDescent="0.25">
      <c r="A99" s="67" t="s">
        <v>51</v>
      </c>
      <c r="B99" s="68"/>
      <c r="C99" s="68"/>
      <c r="D99" s="68"/>
      <c r="E99" s="68"/>
      <c r="F99" s="68"/>
      <c r="G99" s="68"/>
    </row>
    <row r="100" spans="1:7" ht="30" x14ac:dyDescent="0.25">
      <c r="A100" s="5" t="s">
        <v>3</v>
      </c>
      <c r="B100" s="5" t="s">
        <v>33</v>
      </c>
      <c r="C100" s="5" t="s">
        <v>34</v>
      </c>
      <c r="D100" s="5" t="s">
        <v>35</v>
      </c>
      <c r="E100" s="5" t="s">
        <v>36</v>
      </c>
      <c r="F100" s="5" t="s">
        <v>37</v>
      </c>
      <c r="G100" s="5" t="s">
        <v>38</v>
      </c>
    </row>
    <row r="101" spans="1:7" x14ac:dyDescent="0.25">
      <c r="A101" s="6" t="s">
        <v>6</v>
      </c>
      <c r="B101" s="7">
        <v>11</v>
      </c>
      <c r="C101" s="7">
        <v>0</v>
      </c>
      <c r="D101" s="8">
        <f t="shared" ref="D101:D109" si="16">B101+C101</f>
        <v>11</v>
      </c>
      <c r="E101" s="7">
        <v>1</v>
      </c>
      <c r="F101" s="7">
        <v>0</v>
      </c>
      <c r="G101" s="8">
        <f t="shared" ref="G101:G109" si="17">D101-E101-F101</f>
        <v>10</v>
      </c>
    </row>
    <row r="102" spans="1:7" x14ac:dyDescent="0.25">
      <c r="A102" s="9" t="s">
        <v>7</v>
      </c>
      <c r="B102" s="10">
        <v>2</v>
      </c>
      <c r="C102" s="10">
        <v>0</v>
      </c>
      <c r="D102" s="11">
        <f t="shared" si="16"/>
        <v>2</v>
      </c>
      <c r="E102" s="10">
        <v>0</v>
      </c>
      <c r="F102" s="10">
        <v>0</v>
      </c>
      <c r="G102" s="11">
        <f t="shared" si="17"/>
        <v>2</v>
      </c>
    </row>
    <row r="103" spans="1:7" x14ac:dyDescent="0.25">
      <c r="A103" s="12" t="s">
        <v>8</v>
      </c>
      <c r="B103" s="13">
        <v>0</v>
      </c>
      <c r="C103" s="13">
        <v>0</v>
      </c>
      <c r="D103" s="14">
        <f t="shared" si="16"/>
        <v>0</v>
      </c>
      <c r="E103" s="13">
        <v>0</v>
      </c>
      <c r="F103" s="13">
        <v>0</v>
      </c>
      <c r="G103" s="14">
        <f t="shared" si="17"/>
        <v>0</v>
      </c>
    </row>
    <row r="104" spans="1:7" x14ac:dyDescent="0.25">
      <c r="A104" s="15" t="s">
        <v>9</v>
      </c>
      <c r="B104" s="16">
        <v>0</v>
      </c>
      <c r="C104" s="16">
        <v>200</v>
      </c>
      <c r="D104" s="17">
        <f t="shared" si="16"/>
        <v>200</v>
      </c>
      <c r="E104" s="16">
        <v>130</v>
      </c>
      <c r="F104" s="16">
        <v>70</v>
      </c>
      <c r="G104" s="17">
        <f t="shared" si="17"/>
        <v>0</v>
      </c>
    </row>
    <row r="105" spans="1:7" x14ac:dyDescent="0.25">
      <c r="A105" s="18" t="s">
        <v>10</v>
      </c>
      <c r="B105" s="19">
        <v>0</v>
      </c>
      <c r="C105" s="19">
        <v>50</v>
      </c>
      <c r="D105" s="20">
        <f t="shared" si="16"/>
        <v>50</v>
      </c>
      <c r="E105" s="19">
        <v>0</v>
      </c>
      <c r="F105" s="19">
        <v>50</v>
      </c>
      <c r="G105" s="20">
        <f t="shared" si="17"/>
        <v>0</v>
      </c>
    </row>
    <row r="106" spans="1:7" x14ac:dyDescent="0.25">
      <c r="A106" s="21" t="s">
        <v>11</v>
      </c>
      <c r="B106" s="22">
        <v>0</v>
      </c>
      <c r="C106" s="22">
        <v>0</v>
      </c>
      <c r="D106" s="23">
        <f t="shared" si="16"/>
        <v>0</v>
      </c>
      <c r="E106" s="22">
        <v>0</v>
      </c>
      <c r="F106" s="22">
        <v>0</v>
      </c>
      <c r="G106" s="23">
        <f t="shared" si="17"/>
        <v>0</v>
      </c>
    </row>
    <row r="107" spans="1:7" x14ac:dyDescent="0.25">
      <c r="A107" s="24" t="s">
        <v>12</v>
      </c>
      <c r="B107" s="25">
        <v>0</v>
      </c>
      <c r="C107" s="25">
        <v>50</v>
      </c>
      <c r="D107" s="26">
        <f t="shared" si="16"/>
        <v>50</v>
      </c>
      <c r="E107" s="25">
        <v>0</v>
      </c>
      <c r="F107" s="25">
        <v>50</v>
      </c>
      <c r="G107" s="26">
        <f t="shared" si="17"/>
        <v>0</v>
      </c>
    </row>
    <row r="108" spans="1:7" x14ac:dyDescent="0.25">
      <c r="A108" s="27" t="s">
        <v>13</v>
      </c>
      <c r="B108" s="28">
        <v>0</v>
      </c>
      <c r="C108" s="28">
        <v>0</v>
      </c>
      <c r="D108" s="29">
        <f t="shared" si="16"/>
        <v>0</v>
      </c>
      <c r="E108" s="28">
        <v>0</v>
      </c>
      <c r="F108" s="28">
        <v>0</v>
      </c>
      <c r="G108" s="29">
        <f t="shared" si="17"/>
        <v>0</v>
      </c>
    </row>
    <row r="109" spans="1:7" x14ac:dyDescent="0.25">
      <c r="A109" s="30" t="s">
        <v>14</v>
      </c>
      <c r="B109" s="31">
        <v>0</v>
      </c>
      <c r="C109" s="31">
        <v>0</v>
      </c>
      <c r="D109" s="32">
        <f t="shared" si="16"/>
        <v>0</v>
      </c>
      <c r="E109" s="31">
        <v>0</v>
      </c>
      <c r="F109" s="31">
        <v>0</v>
      </c>
      <c r="G109" s="32">
        <f t="shared" si="17"/>
        <v>0</v>
      </c>
    </row>
    <row r="111" spans="1:7" ht="15.75" x14ac:dyDescent="0.25">
      <c r="A111" s="69" t="s">
        <v>50</v>
      </c>
      <c r="B111" s="70"/>
      <c r="C111" s="70"/>
      <c r="D111" s="70"/>
      <c r="E111" s="70"/>
      <c r="F111" s="70"/>
      <c r="G111" s="70"/>
    </row>
    <row r="112" spans="1:7" ht="30" x14ac:dyDescent="0.25">
      <c r="A112" s="5" t="s">
        <v>3</v>
      </c>
      <c r="B112" s="5" t="s">
        <v>33</v>
      </c>
      <c r="C112" s="5" t="s">
        <v>34</v>
      </c>
      <c r="D112" s="5" t="s">
        <v>35</v>
      </c>
      <c r="E112" s="5" t="s">
        <v>36</v>
      </c>
      <c r="F112" s="5" t="s">
        <v>37</v>
      </c>
      <c r="G112" s="5" t="s">
        <v>38</v>
      </c>
    </row>
    <row r="113" spans="1:7" x14ac:dyDescent="0.25">
      <c r="A113" s="6" t="s">
        <v>6</v>
      </c>
      <c r="B113" s="7">
        <v>27</v>
      </c>
      <c r="C113" s="7">
        <v>0</v>
      </c>
      <c r="D113" s="8">
        <f t="shared" ref="D113:D121" si="18">B113+C113</f>
        <v>27</v>
      </c>
      <c r="E113" s="7">
        <v>5</v>
      </c>
      <c r="F113" s="7">
        <v>0</v>
      </c>
      <c r="G113" s="8">
        <f t="shared" ref="G113:G121" si="19">D113-E113-F113</f>
        <v>22</v>
      </c>
    </row>
    <row r="114" spans="1:7" x14ac:dyDescent="0.25">
      <c r="A114" s="9" t="s">
        <v>7</v>
      </c>
      <c r="B114" s="10">
        <v>0</v>
      </c>
      <c r="C114" s="10">
        <v>25</v>
      </c>
      <c r="D114" s="11">
        <f t="shared" si="18"/>
        <v>25</v>
      </c>
      <c r="E114" s="10">
        <v>0</v>
      </c>
      <c r="F114" s="10">
        <v>0</v>
      </c>
      <c r="G114" s="11">
        <f t="shared" si="19"/>
        <v>25</v>
      </c>
    </row>
    <row r="115" spans="1:7" x14ac:dyDescent="0.25">
      <c r="A115" s="12" t="s">
        <v>8</v>
      </c>
      <c r="B115" s="13">
        <v>0</v>
      </c>
      <c r="C115" s="13">
        <v>0</v>
      </c>
      <c r="D115" s="14">
        <f t="shared" si="18"/>
        <v>0</v>
      </c>
      <c r="E115" s="13">
        <v>0</v>
      </c>
      <c r="F115" s="13">
        <v>0</v>
      </c>
      <c r="G115" s="14">
        <f t="shared" si="19"/>
        <v>0</v>
      </c>
    </row>
    <row r="116" spans="1:7" x14ac:dyDescent="0.25">
      <c r="A116" s="15" t="s">
        <v>9</v>
      </c>
      <c r="B116" s="16">
        <v>380</v>
      </c>
      <c r="C116" s="16">
        <v>0</v>
      </c>
      <c r="D116" s="17">
        <f t="shared" si="18"/>
        <v>380</v>
      </c>
      <c r="E116" s="16">
        <v>100</v>
      </c>
      <c r="F116" s="16">
        <v>0</v>
      </c>
      <c r="G116" s="17">
        <f t="shared" si="19"/>
        <v>280</v>
      </c>
    </row>
    <row r="117" spans="1:7" x14ac:dyDescent="0.25">
      <c r="A117" s="18" t="s">
        <v>10</v>
      </c>
      <c r="B117" s="19">
        <v>250</v>
      </c>
      <c r="C117" s="19">
        <v>0</v>
      </c>
      <c r="D117" s="20">
        <f t="shared" si="18"/>
        <v>250</v>
      </c>
      <c r="E117" s="19">
        <v>20</v>
      </c>
      <c r="F117" s="19">
        <v>0</v>
      </c>
      <c r="G117" s="20">
        <f t="shared" si="19"/>
        <v>230</v>
      </c>
    </row>
    <row r="118" spans="1:7" x14ac:dyDescent="0.25">
      <c r="A118" s="21" t="s">
        <v>11</v>
      </c>
      <c r="B118" s="22">
        <v>90</v>
      </c>
      <c r="C118" s="22">
        <v>0</v>
      </c>
      <c r="D118" s="23">
        <f t="shared" si="18"/>
        <v>90</v>
      </c>
      <c r="E118" s="22">
        <v>0</v>
      </c>
      <c r="F118" s="22">
        <v>0</v>
      </c>
      <c r="G118" s="23">
        <f t="shared" si="19"/>
        <v>90</v>
      </c>
    </row>
    <row r="119" spans="1:7" x14ac:dyDescent="0.25">
      <c r="A119" s="24" t="s">
        <v>12</v>
      </c>
      <c r="B119" s="25">
        <v>430</v>
      </c>
      <c r="C119" s="25">
        <v>0</v>
      </c>
      <c r="D119" s="26">
        <f t="shared" si="18"/>
        <v>430</v>
      </c>
      <c r="E119" s="25">
        <v>20</v>
      </c>
      <c r="F119" s="25">
        <v>0</v>
      </c>
      <c r="G119" s="26">
        <f t="shared" si="19"/>
        <v>410</v>
      </c>
    </row>
    <row r="120" spans="1:7" x14ac:dyDescent="0.25">
      <c r="A120" s="27" t="s">
        <v>13</v>
      </c>
      <c r="B120" s="28">
        <v>0</v>
      </c>
      <c r="C120" s="28">
        <v>0</v>
      </c>
      <c r="D120" s="29">
        <f t="shared" si="18"/>
        <v>0</v>
      </c>
      <c r="E120" s="28">
        <v>0</v>
      </c>
      <c r="F120" s="28">
        <v>0</v>
      </c>
      <c r="G120" s="29">
        <f t="shared" si="19"/>
        <v>0</v>
      </c>
    </row>
    <row r="121" spans="1:7" x14ac:dyDescent="0.25">
      <c r="A121" s="30" t="s">
        <v>14</v>
      </c>
      <c r="B121" s="31">
        <v>0</v>
      </c>
      <c r="C121" s="31">
        <v>0</v>
      </c>
      <c r="D121" s="32">
        <f t="shared" si="18"/>
        <v>0</v>
      </c>
      <c r="E121" s="31">
        <v>0</v>
      </c>
      <c r="F121" s="31">
        <v>0</v>
      </c>
      <c r="G121" s="32">
        <f t="shared" si="19"/>
        <v>0</v>
      </c>
    </row>
    <row r="123" spans="1:7" ht="15.75" x14ac:dyDescent="0.25">
      <c r="A123" s="71" t="s">
        <v>66</v>
      </c>
      <c r="B123" s="72"/>
      <c r="C123" s="72"/>
      <c r="D123" s="72"/>
      <c r="E123" s="72"/>
      <c r="F123" s="72"/>
      <c r="G123" s="72"/>
    </row>
    <row r="124" spans="1:7" ht="30" x14ac:dyDescent="0.25">
      <c r="A124" s="5" t="s">
        <v>3</v>
      </c>
      <c r="B124" s="5" t="s">
        <v>33</v>
      </c>
      <c r="C124" s="5" t="s">
        <v>34</v>
      </c>
      <c r="D124" s="5" t="s">
        <v>35</v>
      </c>
      <c r="E124" s="5" t="s">
        <v>36</v>
      </c>
      <c r="F124" s="5" t="s">
        <v>37</v>
      </c>
      <c r="G124" s="5" t="s">
        <v>38</v>
      </c>
    </row>
    <row r="125" spans="1:7" x14ac:dyDescent="0.25">
      <c r="A125" s="6" t="s">
        <v>6</v>
      </c>
      <c r="B125" s="7">
        <v>20</v>
      </c>
      <c r="C125" s="7">
        <v>4</v>
      </c>
      <c r="D125" s="8">
        <f t="shared" ref="D125:D133" si="20">B125+C125</f>
        <v>24</v>
      </c>
      <c r="E125" s="7">
        <v>2</v>
      </c>
      <c r="F125" s="7">
        <v>0</v>
      </c>
      <c r="G125" s="8">
        <f t="shared" ref="G125:G133" si="21">D125-E125-F125</f>
        <v>22</v>
      </c>
    </row>
    <row r="126" spans="1:7" x14ac:dyDescent="0.25">
      <c r="A126" s="9" t="s">
        <v>7</v>
      </c>
      <c r="B126" s="10">
        <v>0</v>
      </c>
      <c r="C126" s="10">
        <v>0</v>
      </c>
      <c r="D126" s="11">
        <f t="shared" si="20"/>
        <v>0</v>
      </c>
      <c r="E126" s="10">
        <v>0</v>
      </c>
      <c r="F126" s="10">
        <v>0</v>
      </c>
      <c r="G126" s="11">
        <f t="shared" si="21"/>
        <v>0</v>
      </c>
    </row>
    <row r="127" spans="1:7" x14ac:dyDescent="0.25">
      <c r="A127" s="12" t="s">
        <v>8</v>
      </c>
      <c r="B127" s="13">
        <v>0</v>
      </c>
      <c r="C127" s="13">
        <v>0</v>
      </c>
      <c r="D127" s="14">
        <f t="shared" si="20"/>
        <v>0</v>
      </c>
      <c r="E127" s="13">
        <v>0</v>
      </c>
      <c r="F127" s="13">
        <v>0</v>
      </c>
      <c r="G127" s="14">
        <f t="shared" si="21"/>
        <v>0</v>
      </c>
    </row>
    <row r="128" spans="1:7" x14ac:dyDescent="0.25">
      <c r="A128" s="15" t="s">
        <v>9</v>
      </c>
      <c r="B128" s="16">
        <v>0</v>
      </c>
      <c r="C128" s="16">
        <v>0</v>
      </c>
      <c r="D128" s="17">
        <f t="shared" si="20"/>
        <v>0</v>
      </c>
      <c r="E128" s="16">
        <v>0</v>
      </c>
      <c r="F128" s="16">
        <v>0</v>
      </c>
      <c r="G128" s="17">
        <f t="shared" si="21"/>
        <v>0</v>
      </c>
    </row>
    <row r="129" spans="1:7" x14ac:dyDescent="0.25">
      <c r="A129" s="18" t="s">
        <v>10</v>
      </c>
      <c r="B129" s="19">
        <v>0</v>
      </c>
      <c r="C129" s="19">
        <v>0</v>
      </c>
      <c r="D129" s="20">
        <f t="shared" si="20"/>
        <v>0</v>
      </c>
      <c r="E129" s="19">
        <v>0</v>
      </c>
      <c r="F129" s="19">
        <v>0</v>
      </c>
      <c r="G129" s="20">
        <f t="shared" si="21"/>
        <v>0</v>
      </c>
    </row>
    <row r="130" spans="1:7" x14ac:dyDescent="0.25">
      <c r="A130" s="21" t="s">
        <v>11</v>
      </c>
      <c r="B130" s="22">
        <v>0</v>
      </c>
      <c r="C130" s="22">
        <v>0</v>
      </c>
      <c r="D130" s="23">
        <f t="shared" si="20"/>
        <v>0</v>
      </c>
      <c r="E130" s="22">
        <v>0</v>
      </c>
      <c r="F130" s="22">
        <v>0</v>
      </c>
      <c r="G130" s="23">
        <f t="shared" si="21"/>
        <v>0</v>
      </c>
    </row>
    <row r="131" spans="1:7" x14ac:dyDescent="0.25">
      <c r="A131" s="24" t="s">
        <v>12</v>
      </c>
      <c r="B131" s="25">
        <v>0</v>
      </c>
      <c r="C131" s="25">
        <v>0</v>
      </c>
      <c r="D131" s="26">
        <f t="shared" si="20"/>
        <v>0</v>
      </c>
      <c r="E131" s="25">
        <v>0</v>
      </c>
      <c r="F131" s="25">
        <v>0</v>
      </c>
      <c r="G131" s="26">
        <f t="shared" si="21"/>
        <v>0</v>
      </c>
    </row>
    <row r="132" spans="1:7" x14ac:dyDescent="0.25">
      <c r="A132" s="27" t="s">
        <v>13</v>
      </c>
      <c r="B132" s="28">
        <v>0</v>
      </c>
      <c r="C132" s="28">
        <v>0</v>
      </c>
      <c r="D132" s="29">
        <f t="shared" si="20"/>
        <v>0</v>
      </c>
      <c r="E132" s="28">
        <v>0</v>
      </c>
      <c r="F132" s="28">
        <v>0</v>
      </c>
      <c r="G132" s="29">
        <f t="shared" si="21"/>
        <v>0</v>
      </c>
    </row>
    <row r="133" spans="1:7" x14ac:dyDescent="0.25">
      <c r="A133" s="30" t="s">
        <v>14</v>
      </c>
      <c r="B133" s="31">
        <v>0</v>
      </c>
      <c r="C133" s="31">
        <v>0</v>
      </c>
      <c r="D133" s="32">
        <f t="shared" si="20"/>
        <v>0</v>
      </c>
      <c r="E133" s="31">
        <v>0</v>
      </c>
      <c r="F133" s="31">
        <v>0</v>
      </c>
      <c r="G133" s="32">
        <f t="shared" si="21"/>
        <v>0</v>
      </c>
    </row>
    <row r="135" spans="1:7" ht="15.75" x14ac:dyDescent="0.25">
      <c r="A135" s="73" t="s">
        <v>49</v>
      </c>
      <c r="B135" s="74"/>
      <c r="C135" s="74"/>
      <c r="D135" s="74"/>
      <c r="E135" s="74"/>
      <c r="F135" s="74"/>
      <c r="G135" s="74"/>
    </row>
    <row r="136" spans="1:7" ht="30" x14ac:dyDescent="0.25">
      <c r="A136" s="5" t="s">
        <v>3</v>
      </c>
      <c r="B136" s="5" t="s">
        <v>33</v>
      </c>
      <c r="C136" s="5" t="s">
        <v>34</v>
      </c>
      <c r="D136" s="5" t="s">
        <v>35</v>
      </c>
      <c r="E136" s="5" t="s">
        <v>36</v>
      </c>
      <c r="F136" s="5" t="s">
        <v>37</v>
      </c>
      <c r="G136" s="5" t="s">
        <v>38</v>
      </c>
    </row>
    <row r="137" spans="1:7" x14ac:dyDescent="0.25">
      <c r="A137" s="6" t="s">
        <v>6</v>
      </c>
      <c r="B137" s="7">
        <v>75</v>
      </c>
      <c r="C137" s="7">
        <v>0</v>
      </c>
      <c r="D137" s="8">
        <f t="shared" ref="D137:D145" si="22">B137+C137</f>
        <v>75</v>
      </c>
      <c r="E137" s="7">
        <v>0</v>
      </c>
      <c r="F137" s="7">
        <v>0</v>
      </c>
      <c r="G137" s="8">
        <f t="shared" ref="G137:G145" si="23">D137-E137-F137</f>
        <v>75</v>
      </c>
    </row>
    <row r="138" spans="1:7" x14ac:dyDescent="0.25">
      <c r="A138" s="9" t="s">
        <v>7</v>
      </c>
      <c r="B138" s="10">
        <v>5</v>
      </c>
      <c r="C138" s="10">
        <v>0</v>
      </c>
      <c r="D138" s="11">
        <f t="shared" si="22"/>
        <v>5</v>
      </c>
      <c r="E138" s="10">
        <v>0</v>
      </c>
      <c r="F138" s="10">
        <v>0</v>
      </c>
      <c r="G138" s="11">
        <f t="shared" si="23"/>
        <v>5</v>
      </c>
    </row>
    <row r="139" spans="1:7" x14ac:dyDescent="0.25">
      <c r="A139" s="12" t="s">
        <v>8</v>
      </c>
      <c r="B139" s="13">
        <v>0</v>
      </c>
      <c r="C139" s="13">
        <v>0</v>
      </c>
      <c r="D139" s="14">
        <f t="shared" si="22"/>
        <v>0</v>
      </c>
      <c r="E139" s="13">
        <v>0</v>
      </c>
      <c r="F139" s="13">
        <v>0</v>
      </c>
      <c r="G139" s="14">
        <f t="shared" si="23"/>
        <v>0</v>
      </c>
    </row>
    <row r="140" spans="1:7" x14ac:dyDescent="0.25">
      <c r="A140" s="15" t="s">
        <v>9</v>
      </c>
      <c r="B140" s="16">
        <v>0</v>
      </c>
      <c r="C140" s="16">
        <v>0</v>
      </c>
      <c r="D140" s="17">
        <f t="shared" si="22"/>
        <v>0</v>
      </c>
      <c r="E140" s="16">
        <v>0</v>
      </c>
      <c r="F140" s="16">
        <v>0</v>
      </c>
      <c r="G140" s="17">
        <f t="shared" si="23"/>
        <v>0</v>
      </c>
    </row>
    <row r="141" spans="1:7" x14ac:dyDescent="0.25">
      <c r="A141" s="18" t="s">
        <v>10</v>
      </c>
      <c r="B141" s="19">
        <v>0</v>
      </c>
      <c r="C141" s="19">
        <v>0</v>
      </c>
      <c r="D141" s="20">
        <f t="shared" si="22"/>
        <v>0</v>
      </c>
      <c r="E141" s="19">
        <v>0</v>
      </c>
      <c r="F141" s="19">
        <v>0</v>
      </c>
      <c r="G141" s="20">
        <f t="shared" si="23"/>
        <v>0</v>
      </c>
    </row>
    <row r="142" spans="1:7" x14ac:dyDescent="0.25">
      <c r="A142" s="21" t="s">
        <v>11</v>
      </c>
      <c r="B142" s="22">
        <v>0</v>
      </c>
      <c r="C142" s="22">
        <v>0</v>
      </c>
      <c r="D142" s="23">
        <f t="shared" si="22"/>
        <v>0</v>
      </c>
      <c r="E142" s="22">
        <v>0</v>
      </c>
      <c r="F142" s="22">
        <v>0</v>
      </c>
      <c r="G142" s="23">
        <f t="shared" si="23"/>
        <v>0</v>
      </c>
    </row>
    <row r="143" spans="1:7" x14ac:dyDescent="0.25">
      <c r="A143" s="24" t="s">
        <v>12</v>
      </c>
      <c r="B143" s="25">
        <v>0</v>
      </c>
      <c r="C143" s="25">
        <v>0</v>
      </c>
      <c r="D143" s="26">
        <f t="shared" si="22"/>
        <v>0</v>
      </c>
      <c r="E143" s="25">
        <v>0</v>
      </c>
      <c r="F143" s="25">
        <v>0</v>
      </c>
      <c r="G143" s="26">
        <f t="shared" si="23"/>
        <v>0</v>
      </c>
    </row>
    <row r="144" spans="1:7" x14ac:dyDescent="0.25">
      <c r="A144" s="27" t="s">
        <v>13</v>
      </c>
      <c r="B144" s="28">
        <v>0</v>
      </c>
      <c r="C144" s="28">
        <v>0</v>
      </c>
      <c r="D144" s="29">
        <f t="shared" si="22"/>
        <v>0</v>
      </c>
      <c r="E144" s="28">
        <v>0</v>
      </c>
      <c r="F144" s="28">
        <v>0</v>
      </c>
      <c r="G144" s="29">
        <f t="shared" si="23"/>
        <v>0</v>
      </c>
    </row>
    <row r="145" spans="1:7" x14ac:dyDescent="0.25">
      <c r="A145" s="30" t="s">
        <v>14</v>
      </c>
      <c r="B145" s="31">
        <v>0</v>
      </c>
      <c r="C145" s="31">
        <v>0</v>
      </c>
      <c r="D145" s="32">
        <f t="shared" si="22"/>
        <v>0</v>
      </c>
      <c r="E145" s="31">
        <v>0</v>
      </c>
      <c r="F145" s="31">
        <v>0</v>
      </c>
      <c r="G145" s="32">
        <f t="shared" si="23"/>
        <v>0</v>
      </c>
    </row>
  </sheetData>
  <sheetProtection password="CC3D" sheet="1" objects="1" scenarios="1" formatCells="0" formatColumns="0" formatRows="0" insertRows="0" deleteRows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activeCell="J10" sqref="J10"/>
    </sheetView>
  </sheetViews>
  <sheetFormatPr defaultColWidth="10" defaultRowHeight="15" x14ac:dyDescent="0.25"/>
  <cols>
    <col min="1" max="1" width="24.7109375" customWidth="1"/>
    <col min="2" max="2" width="19.5703125" customWidth="1"/>
    <col min="3" max="3" width="16.85546875" customWidth="1"/>
    <col min="4" max="4" width="16.7109375" customWidth="1"/>
    <col min="5" max="5" width="17.140625" customWidth="1"/>
    <col min="6" max="6" width="16.85546875" customWidth="1"/>
    <col min="7" max="8" width="18" customWidth="1"/>
  </cols>
  <sheetData>
    <row r="1" spans="1:8" ht="21" x14ac:dyDescent="0.35">
      <c r="A1" s="100" t="s">
        <v>39</v>
      </c>
      <c r="B1" s="100"/>
    </row>
    <row r="3" spans="1:8" ht="17.25" x14ac:dyDescent="0.3">
      <c r="A3" s="99" t="s">
        <v>60</v>
      </c>
      <c r="B3" s="99"/>
      <c r="C3" s="99"/>
      <c r="D3" s="99"/>
    </row>
    <row r="4" spans="1:8" ht="60" x14ac:dyDescent="0.25">
      <c r="A4" s="76" t="s">
        <v>61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</row>
    <row r="5" spans="1:8" x14ac:dyDescent="0.25">
      <c r="A5" s="6" t="s">
        <v>6</v>
      </c>
      <c r="B5" s="8">
        <f>'Dashboard Summary'!B20</f>
        <v>12</v>
      </c>
      <c r="C5" s="7">
        <v>300</v>
      </c>
      <c r="D5" s="7">
        <v>300</v>
      </c>
      <c r="E5" s="7">
        <v>0</v>
      </c>
      <c r="F5" s="8">
        <f t="shared" ref="F5:F13" si="0">B5*C5</f>
        <v>3600</v>
      </c>
      <c r="G5" s="8">
        <f t="shared" ref="G5:G13" si="1">(B5*D5)-E5</f>
        <v>3600</v>
      </c>
      <c r="H5" s="8">
        <f t="shared" ref="H5:H13" si="2">G5-F5</f>
        <v>0</v>
      </c>
    </row>
    <row r="6" spans="1:8" x14ac:dyDescent="0.25">
      <c r="A6" s="9" t="s">
        <v>7</v>
      </c>
      <c r="B6" s="11">
        <f>'Dashboard Summary'!B21</f>
        <v>25</v>
      </c>
      <c r="C6" s="10">
        <v>323</v>
      </c>
      <c r="D6" s="10">
        <v>340</v>
      </c>
      <c r="E6" s="10">
        <v>0</v>
      </c>
      <c r="F6" s="11">
        <f t="shared" si="0"/>
        <v>8075</v>
      </c>
      <c r="G6" s="11">
        <f t="shared" si="1"/>
        <v>8500</v>
      </c>
      <c r="H6" s="11">
        <f t="shared" si="2"/>
        <v>425</v>
      </c>
    </row>
    <row r="7" spans="1:8" x14ac:dyDescent="0.25">
      <c r="A7" s="12" t="s">
        <v>8</v>
      </c>
      <c r="B7" s="14">
        <f>'Dashboard Summary'!B22</f>
        <v>0</v>
      </c>
      <c r="C7" s="13">
        <v>100</v>
      </c>
      <c r="D7" s="13">
        <v>100</v>
      </c>
      <c r="E7" s="13">
        <v>0</v>
      </c>
      <c r="F7" s="14">
        <f t="shared" si="0"/>
        <v>0</v>
      </c>
      <c r="G7" s="14">
        <f t="shared" si="1"/>
        <v>0</v>
      </c>
      <c r="H7" s="14">
        <f t="shared" si="2"/>
        <v>0</v>
      </c>
    </row>
    <row r="8" spans="1:8" x14ac:dyDescent="0.25">
      <c r="A8" s="15" t="s">
        <v>9</v>
      </c>
      <c r="B8" s="17">
        <f>'Dashboard Summary'!B23</f>
        <v>870</v>
      </c>
      <c r="C8" s="16">
        <v>27.912500000000001</v>
      </c>
      <c r="D8" s="16">
        <v>28</v>
      </c>
      <c r="E8" s="16">
        <v>0</v>
      </c>
      <c r="F8" s="17">
        <f t="shared" si="0"/>
        <v>24283.875</v>
      </c>
      <c r="G8" s="17">
        <f t="shared" si="1"/>
        <v>24360</v>
      </c>
      <c r="H8" s="17">
        <f t="shared" si="2"/>
        <v>76.125</v>
      </c>
    </row>
    <row r="9" spans="1:8" x14ac:dyDescent="0.25">
      <c r="A9" s="18" t="s">
        <v>10</v>
      </c>
      <c r="B9" s="20">
        <f>'Dashboard Summary'!B24</f>
        <v>220</v>
      </c>
      <c r="C9" s="19">
        <v>37.537500000000001</v>
      </c>
      <c r="D9" s="19">
        <v>38</v>
      </c>
      <c r="E9" s="19">
        <v>0</v>
      </c>
      <c r="F9" s="20">
        <f t="shared" si="0"/>
        <v>8258.25</v>
      </c>
      <c r="G9" s="20">
        <f t="shared" si="1"/>
        <v>8360</v>
      </c>
      <c r="H9" s="20">
        <f t="shared" si="2"/>
        <v>101.75</v>
      </c>
    </row>
    <row r="10" spans="1:8" x14ac:dyDescent="0.25">
      <c r="A10" s="21" t="s">
        <v>11</v>
      </c>
      <c r="B10" s="23">
        <f>'Dashboard Summary'!B25</f>
        <v>0</v>
      </c>
      <c r="C10" s="22">
        <v>47.162500000000001</v>
      </c>
      <c r="D10" s="22">
        <v>48</v>
      </c>
      <c r="E10" s="22">
        <v>0</v>
      </c>
      <c r="F10" s="23">
        <f t="shared" si="0"/>
        <v>0</v>
      </c>
      <c r="G10" s="23">
        <f t="shared" si="1"/>
        <v>0</v>
      </c>
      <c r="H10" s="23">
        <f t="shared" si="2"/>
        <v>0</v>
      </c>
    </row>
    <row r="11" spans="1:8" x14ac:dyDescent="0.25">
      <c r="A11" s="24" t="s">
        <v>12</v>
      </c>
      <c r="B11" s="26">
        <f>'Dashboard Summary'!B26</f>
        <v>130</v>
      </c>
      <c r="C11" s="25">
        <v>47.162500000000001</v>
      </c>
      <c r="D11" s="25">
        <v>48</v>
      </c>
      <c r="E11" s="25">
        <v>0</v>
      </c>
      <c r="F11" s="26">
        <f t="shared" si="0"/>
        <v>6131.125</v>
      </c>
      <c r="G11" s="26">
        <f t="shared" si="1"/>
        <v>6240</v>
      </c>
      <c r="H11" s="26">
        <f t="shared" si="2"/>
        <v>108.875</v>
      </c>
    </row>
    <row r="12" spans="1:8" x14ac:dyDescent="0.25">
      <c r="A12" s="27" t="s">
        <v>13</v>
      </c>
      <c r="B12" s="29">
        <f>'Dashboard Summary'!B27</f>
        <v>0</v>
      </c>
      <c r="C12" s="28">
        <v>37.537500000000001</v>
      </c>
      <c r="D12" s="28">
        <v>38</v>
      </c>
      <c r="E12" s="28">
        <v>0</v>
      </c>
      <c r="F12" s="29">
        <f t="shared" si="0"/>
        <v>0</v>
      </c>
      <c r="G12" s="29">
        <f t="shared" si="1"/>
        <v>0</v>
      </c>
      <c r="H12" s="29">
        <f t="shared" si="2"/>
        <v>0</v>
      </c>
    </row>
    <row r="13" spans="1:8" x14ac:dyDescent="0.25">
      <c r="A13" s="30" t="s">
        <v>14</v>
      </c>
      <c r="B13" s="32">
        <f>'Dashboard Summary'!B28</f>
        <v>0</v>
      </c>
      <c r="C13" s="31">
        <v>95.287499999999994</v>
      </c>
      <c r="D13" s="31">
        <v>97</v>
      </c>
      <c r="E13" s="31">
        <v>0</v>
      </c>
      <c r="F13" s="32">
        <f t="shared" si="0"/>
        <v>0</v>
      </c>
      <c r="G13" s="32">
        <f t="shared" si="1"/>
        <v>0</v>
      </c>
      <c r="H13" s="32">
        <f t="shared" si="2"/>
        <v>0</v>
      </c>
    </row>
    <row r="14" spans="1:8" ht="21" customHeight="1" x14ac:dyDescent="0.25">
      <c r="A14" s="97" t="s">
        <v>47</v>
      </c>
      <c r="B14" s="98"/>
      <c r="C14" s="77"/>
      <c r="D14" s="77"/>
      <c r="E14" s="77"/>
      <c r="F14" s="77"/>
      <c r="G14" s="78">
        <f>SUM(G5:G13)</f>
        <v>51060</v>
      </c>
      <c r="H14" s="78">
        <f>SUM(H5:H13)</f>
        <v>711.75</v>
      </c>
    </row>
  </sheetData>
  <sheetProtection algorithmName="SHA-512" hashValue="iFMjkEZLmnjlS8rfvtp7INqa1xE4TcWCo+PTgLHPpCjJTPHdJiB4CZEbSYz3c5g3MKEMXJGRoX0rwcwEkwc1TQ==" saltValue="ZRICi2vbY5TvLrVMDS6r0A==" spinCount="100000" sheet="1" formatCells="0" formatColumns="0" formatRows="0" insertRows="0" deleteRows="0"/>
  <mergeCells count="3">
    <mergeCell ref="A14:B14"/>
    <mergeCell ref="A3:D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Summary</vt:lpstr>
      <vt:lpstr>Daily Data Entry</vt:lpstr>
      <vt:lpstr>Daily Profit &amp;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Shourav</dc:creator>
  <cp:lastModifiedBy>pc</cp:lastModifiedBy>
  <dcterms:created xsi:type="dcterms:W3CDTF">2026-06-04T20:50:27Z</dcterms:created>
  <dcterms:modified xsi:type="dcterms:W3CDTF">2026-06-09T08:08:11Z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6e076edc69fb4dfe945e88d251d30626</vt:lpwstr>
  </property>
</Properties>
</file>